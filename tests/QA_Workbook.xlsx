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  <sheet name="Defect Log" sheetId="3" state="visible" r:id="rId5"/>
    <sheet name="RTM" sheetId="4" state="visible" r:id="rId6"/>
    <sheet name="Change Log" sheetId="5" state="visible" r:id="rId7"/>
    <sheet name="RAID Log" sheetId="6" state="visible" r:id="rId8"/>
    <sheet name="Recon Resul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<sst xmlns="http://schemas.openxmlformats.org/spreadsheetml/2006/main" count="769" uniqueCount="414">
  <si>
    <t xml:space="preserve">Payments Data Migration: QA Summary</t>
  </si>
  <si>
    <t xml:space="preserve">Synthetic data adapted from public PaySim. Fictional bank and roles. Results come from scripts in /python.</t>
  </si>
  <si>
    <t xml:space="preserve">Test cases</t>
  </si>
  <si>
    <t xml:space="preserve">Latest result: Pass</t>
  </si>
  <si>
    <t xml:space="preserve">Latest result: Fail</t>
  </si>
  <si>
    <t xml:space="preserve">Latest result: Not Run (UAT)</t>
  </si>
  <si>
    <t xml:space="preserve">Defects raised</t>
  </si>
  <si>
    <t xml:space="preserve">Defects Critical</t>
  </si>
  <si>
    <t xml:space="preserve">Defects High</t>
  </si>
  <si>
    <t xml:space="preserve">Defects Medium</t>
  </si>
  <si>
    <t xml:space="preserve">Defects Closed</t>
  </si>
  <si>
    <t xml:space="preserve">Requirements</t>
  </si>
  <si>
    <t xml:space="preserve">Requirements Pass</t>
  </si>
  <si>
    <t xml:space="preserve">Requirements Pending UAT</t>
  </si>
  <si>
    <t xml:space="preserve">Exceptions, trial load 1</t>
  </si>
  <si>
    <t xml:space="preserve">Exceptions, rehearsal 2</t>
  </si>
  <si>
    <t xml:space="preserve">ID</t>
  </si>
  <si>
    <t xml:space="preserve">Type</t>
  </si>
  <si>
    <t xml:space="preserve">Title</t>
  </si>
  <si>
    <t xml:space="preserve">Requirement</t>
  </si>
  <si>
    <t xml:space="preserve">Method</t>
  </si>
  <si>
    <t xml:space="preserve">Expected</t>
  </si>
  <si>
    <t xml:space="preserve">Run 1 (trial load 1)</t>
  </si>
  <si>
    <t xml:space="preserve">Run 1 evidence</t>
  </si>
  <si>
    <t xml:space="preserve">Run 2 (rehearsal 2)</t>
  </si>
  <si>
    <t xml:space="preserve">Run 2 evidence</t>
  </si>
  <si>
    <t xml:space="preserve">Defect</t>
  </si>
  <si>
    <t xml:space="preserve">Latest result</t>
  </si>
  <si>
    <t xml:space="preserve">TC-01</t>
  </si>
  <si>
    <t xml:space="preserve">SIT</t>
  </si>
  <si>
    <t xml:space="preserve">Record completeness: every legacy payment exists in target</t>
  </si>
  <si>
    <t xml:space="preserve">REQ-001</t>
  </si>
  <si>
    <t xml:space="preserve">Run sql/02_reconciliation_rules.sql, rule R01</t>
  </si>
  <si>
    <t xml:space="preserve">0 exceptions</t>
  </si>
  <si>
    <t xml:space="preserve">Fail</t>
  </si>
  <si>
    <t xml:space="preserve">400 exceptions</t>
  </si>
  <si>
    <t xml:space="preserve">Pass</t>
  </si>
  <si>
    <t xml:space="preserve">DEF-001</t>
  </si>
  <si>
    <t xml:space="preserve">TC-02</t>
  </si>
  <si>
    <t xml:space="preserve">No target payment exists without a legacy source</t>
  </si>
  <si>
    <t xml:space="preserve">REQ-003</t>
  </si>
  <si>
    <t xml:space="preserve">Run sql/02_reconciliation_rules.sql, rule R02</t>
  </si>
  <si>
    <t xml:space="preserve">200 exceptions</t>
  </si>
  <si>
    <t xml:space="preserve">DEF-002</t>
  </si>
  <si>
    <t xml:space="preserve">TC-03</t>
  </si>
  <si>
    <t xml:space="preserve">No payment_id appears more than once in target</t>
  </si>
  <si>
    <t xml:space="preserve">REQ-002</t>
  </si>
  <si>
    <t xml:space="preserve">Run sql/02_reconciliation_rules.sql, rule R03</t>
  </si>
  <si>
    <t xml:space="preserve">300 exceptions</t>
  </si>
  <si>
    <t xml:space="preserve">DEF-003</t>
  </si>
  <si>
    <t xml:space="preserve">TC-04</t>
  </si>
  <si>
    <t xml:space="preserve">Amount matches legacy to the cent</t>
  </si>
  <si>
    <t xml:space="preserve">REQ-004</t>
  </si>
  <si>
    <t xml:space="preserve">Run sql/02_reconciliation_rules.sql, rule R04</t>
  </si>
  <si>
    <t xml:space="preserve">800 exceptions</t>
  </si>
  <si>
    <t xml:space="preserve">DEF-004</t>
  </si>
  <si>
    <t xml:space="preserve">TC-05</t>
  </si>
  <si>
    <t xml:space="preserve">Originator account migrates at full length</t>
  </si>
  <si>
    <t xml:space="preserve">REQ-005</t>
  </si>
  <si>
    <t xml:space="preserve">Run sql/02_reconciliation_rules.sql, rule R05</t>
  </si>
  <si>
    <t xml:space="preserve">500 exceptions</t>
  </si>
  <si>
    <t xml:space="preserve">DEF-005</t>
  </si>
  <si>
    <t xml:space="preserve">TC-06</t>
  </si>
  <si>
    <t xml:space="preserve">Settlement date is ISO 8601 (YYYY-MM-DD)</t>
  </si>
  <si>
    <t xml:space="preserve">REQ-006</t>
  </si>
  <si>
    <t xml:space="preserve">Run sql/02_reconciliation_rules.sql, rule R06</t>
  </si>
  <si>
    <t xml:space="preserve">600 exceptions</t>
  </si>
  <si>
    <t xml:space="preserve">DEF-006</t>
  </si>
  <si>
    <t xml:space="preserve">TC-07</t>
  </si>
  <si>
    <t xml:space="preserve">Settlement date value equals legacy date</t>
  </si>
  <si>
    <t xml:space="preserve">Run sql/02_reconciliation_rules.sql, rule R07</t>
  </si>
  <si>
    <t xml:space="preserve">DEF-007</t>
  </si>
  <si>
    <t xml:space="preserve">TC-08</t>
  </si>
  <si>
    <t xml:space="preserve">Routing numbers present and 9 digits</t>
  </si>
  <si>
    <t xml:space="preserve">REQ-007</t>
  </si>
  <si>
    <t xml:space="preserve">Run sql/02_reconciliation_rules.sql, rule R08</t>
  </si>
  <si>
    <t xml:space="preserve">DEF-008</t>
  </si>
  <si>
    <t xml:space="preserve">TC-09</t>
  </si>
  <si>
    <t xml:space="preserve">Status codes map STL/PND/RTN to SETTLED/PENDING/RETURNED</t>
  </si>
  <si>
    <t xml:space="preserve">REQ-008</t>
  </si>
  <si>
    <t xml:space="preserve">Run sql/02_reconciliation_rules.sql, rule R09</t>
  </si>
  <si>
    <t xml:space="preserve">DEF-009</t>
  </si>
  <si>
    <t xml:space="preserve">TC-10</t>
  </si>
  <si>
    <t xml:space="preserve">Fraud flag preserved</t>
  </si>
  <si>
    <t xml:space="preserve">REQ-009</t>
  </si>
  <si>
    <t xml:space="preserve">Run sql/02_reconciliation_rules.sql, rule R10</t>
  </si>
  <si>
    <t xml:space="preserve">10 exceptions</t>
  </si>
  <si>
    <t xml:space="preserve">DEF-010</t>
  </si>
  <si>
    <t xml:space="preserve">TC-11</t>
  </si>
  <si>
    <t xml:space="preserve">Payment method maps W/A to WIRE/ACH</t>
  </si>
  <si>
    <t xml:space="preserve">REQ-010</t>
  </si>
  <si>
    <t xml:space="preserve">Run sql/02_reconciliation_rules.sql, rule R11</t>
  </si>
  <si>
    <t xml:space="preserve">TC-12</t>
  </si>
  <si>
    <t xml:space="preserve">Payment direction maps C/D to CREDIT/DEBIT</t>
  </si>
  <si>
    <t xml:space="preserve">Run sql/02_reconciliation_rules.sql, rule R12</t>
  </si>
  <si>
    <t xml:space="preserve">TC-13</t>
  </si>
  <si>
    <t xml:space="preserve">Originator routing value unchanged</t>
  </si>
  <si>
    <t xml:space="preserve">Run sql/02_reconciliation_rules.sql, rule R13</t>
  </si>
  <si>
    <t xml:space="preserve">TC-14</t>
  </si>
  <si>
    <t xml:space="preserve">Beneficiary routing value unchanged</t>
  </si>
  <si>
    <t xml:space="preserve">Run sql/02_reconciliation_rules.sql, rule R14</t>
  </si>
  <si>
    <t xml:space="preserve">TC-15</t>
  </si>
  <si>
    <t xml:space="preserve">Beneficiary account unchanged</t>
  </si>
  <si>
    <t xml:space="preserve">Run sql/02_reconciliation_rules.sql, rule R15</t>
  </si>
  <si>
    <t xml:space="preserve">TC-16</t>
  </si>
  <si>
    <t xml:space="preserve">Trace ID unchanged</t>
  </si>
  <si>
    <t xml:space="preserve">REQ-011</t>
  </si>
  <si>
    <t xml:space="preserve">Run sql/02_reconciliation_rules.sql, rule R16</t>
  </si>
  <si>
    <t xml:space="preserve">TC-17</t>
  </si>
  <si>
    <t xml:space="preserve">Routing numbers pass ABA checksum</t>
  </si>
  <si>
    <t xml:space="preserve">Run sql/02_reconciliation_rules.sql, rule R17</t>
  </si>
  <si>
    <t xml:space="preserve">TC-18</t>
  </si>
  <si>
    <t xml:space="preserve">API accepts a valid payment (201)</t>
  </si>
  <si>
    <t xml:space="preserve">REQ-013</t>
  </si>
  <si>
    <t xml:space="preserve">Submit api/payloads/TC-18_valid_payment.json to reference validator</t>
  </si>
  <si>
    <t xml:space="preserve">HTTP 201</t>
  </si>
  <si>
    <t xml:space="preserve">N/A</t>
  </si>
  <si>
    <t xml:space="preserve">No change since run 1</t>
  </si>
  <si>
    <t xml:space="preserve">TC-19</t>
  </si>
  <si>
    <t xml:space="preserve">API rejects invalid routing checksum (422)</t>
  </si>
  <si>
    <t xml:space="preserve">Submit api/payloads/TC-19_invalid_routing_checksum.json to reference validator</t>
  </si>
  <si>
    <t xml:space="preserve">HTTP 422 ERR_ROUTING_INVALID</t>
  </si>
  <si>
    <t xml:space="preserve">TC-20</t>
  </si>
  <si>
    <t xml:space="preserve">API rejects missing required field (400)</t>
  </si>
  <si>
    <t xml:space="preserve">Submit api/payloads/TC-20_missing_amount.json to reference validator</t>
  </si>
  <si>
    <t xml:space="preserve">HTTP 400 ERR_MISSING_FIELD</t>
  </si>
  <si>
    <t xml:space="preserve">TC-21</t>
  </si>
  <si>
    <t xml:space="preserve">API rejects negative amount (422)</t>
  </si>
  <si>
    <t xml:space="preserve">Submit api/payloads/TC-21_negative_amount.json to reference validator</t>
  </si>
  <si>
    <t xml:space="preserve">HTTP 422 ERR_AMOUNT_INVALID</t>
  </si>
  <si>
    <t xml:space="preserve">TC-22</t>
  </si>
  <si>
    <t xml:space="preserve">API rejects duplicate Idempotency-Key (409)</t>
  </si>
  <si>
    <t xml:space="preserve">Submit api/payloads/TC-22_duplicate_idempotency_key.json to reference validator</t>
  </si>
  <si>
    <t xml:space="preserve">HTTP 409 ERR_DUPLICATE_PAYMENT</t>
  </si>
  <si>
    <t xml:space="preserve">TC-23</t>
  </si>
  <si>
    <t xml:space="preserve">API rejects wrong date format (400)</t>
  </si>
  <si>
    <t xml:space="preserve">Submit api/payloads/TC-23_date_wrong_format.json to reference validator</t>
  </si>
  <si>
    <t xml:space="preserve">HTTP 400 ERR_DATE_FORMAT</t>
  </si>
  <si>
    <t xml:space="preserve">TC-24</t>
  </si>
  <si>
    <t xml:space="preserve">API rejects unsupported payment method (400)</t>
  </si>
  <si>
    <t xml:space="preserve">Submit api/payloads/TC-24_unsupported_method.json to reference validator</t>
  </si>
  <si>
    <t xml:space="preserve">HTTP 400 ERR_METHOD_UNSUPPORTED</t>
  </si>
  <si>
    <t xml:space="preserve">TC-25</t>
  </si>
  <si>
    <t xml:space="preserve">Control totals tie out (row count, distinct keys, amount total)</t>
  </si>
  <si>
    <t xml:space="preserve">REQ-014</t>
  </si>
  <si>
    <t xml:space="preserve">Run sql/03_control_totals.sql</t>
  </si>
  <si>
    <t xml:space="preserve">Counts and amount total equal legacy</t>
  </si>
  <si>
    <t xml:space="preserve">Rows 100,100 vs 100,000; amount variance -$4,452,155.93</t>
  </si>
  <si>
    <t xml:space="preserve">Rows 100,000; amount variance $0.00</t>
  </si>
  <si>
    <t xml:space="preserve">DEF-001, DEF-002, DEF-003, DEF-004</t>
  </si>
  <si>
    <t xml:space="preserve">TC-26</t>
  </si>
  <si>
    <t xml:space="preserve">Regression</t>
  </si>
  <si>
    <t xml:space="preserve">Clean fields stay clean after fixes (R11 to R17)</t>
  </si>
  <si>
    <t xml:space="preserve">Rerun R11 to R17 on rehearsal 2</t>
  </si>
  <si>
    <t xml:space="preserve">Baseline: 0 exceptions on trial load 1 for R11 to R17</t>
  </si>
  <si>
    <t xml:space="preserve">R11 to R17: 0 exceptions</t>
  </si>
  <si>
    <t xml:space="preserve">TC-27</t>
  </si>
  <si>
    <t xml:space="preserve">Exception log has required columns and one row per exception</t>
  </si>
  <si>
    <t xml:space="preserve">REQ-012</t>
  </si>
  <si>
    <t xml:space="preserve">Check data/results/trial1/exceptions.csv columns and row count vs summary</t>
  </si>
  <si>
    <t xml:space="preserve">6 columns, rows equal summary total</t>
  </si>
  <si>
    <t xml:space="preserve">4,010 rows, columns OK</t>
  </si>
  <si>
    <t xml:space="preserve">No exceptions to log on rehearsal 2</t>
  </si>
  <si>
    <t xml:space="preserve">TC-28</t>
  </si>
  <si>
    <t xml:space="preserve">UAT</t>
  </si>
  <si>
    <t xml:space="preserve">Payments Operations reviews the ranked exception report</t>
  </si>
  <si>
    <t xml:space="preserve">Business user reviews exceptions by severity and confirms it is usable</t>
  </si>
  <si>
    <t xml:space="preserve">Report accepted</t>
  </si>
  <si>
    <t xml:space="preserve">Not Run</t>
  </si>
  <si>
    <t xml:space="preserve">Awaiting business users</t>
  </si>
  <si>
    <t xml:space="preserve">TC-29</t>
  </si>
  <si>
    <t xml:space="preserve">Compliance confirms all flagged payments retained</t>
  </si>
  <si>
    <t xml:space="preserve">Compliance spot-checks fraud-flagged payments in target</t>
  </si>
  <si>
    <t xml:space="preserve">All 122 flagged payments retained</t>
  </si>
  <si>
    <t xml:space="preserve">TC-30</t>
  </si>
  <si>
    <t xml:space="preserve">Finance Controller signs off control totals</t>
  </si>
  <si>
    <t xml:space="preserve">Finance reviews control totals and sign-off sheet</t>
  </si>
  <si>
    <t xml:space="preserve">Signed</t>
  </si>
  <si>
    <t xml:space="preserve">Synthetic data adapted from public PaySim. Fictional bank and roles. Results come from scripts in /python. Root causes are simulated hypotheses: the defects were seeded.</t>
  </si>
  <si>
    <t xml:space="preserve">Severity</t>
  </si>
  <si>
    <t xml:space="preserve">Recon rule</t>
  </si>
  <si>
    <t xml:space="preserve">Test case</t>
  </si>
  <si>
    <t xml:space="preserve">Records affected</t>
  </si>
  <si>
    <t xml:space="preserve">Value of affected payments (USD)</t>
  </si>
  <si>
    <t xml:space="preserve">Suspected root cause (simulated)</t>
  </si>
  <si>
    <t xml:space="preserve">Fix</t>
  </si>
  <si>
    <t xml:space="preserve">Found in</t>
  </si>
  <si>
    <t xml:space="preserve">Status</t>
  </si>
  <si>
    <t xml:space="preserve">Retest</t>
  </si>
  <si>
    <t xml:space="preserve">Payments missing from target</t>
  </si>
  <si>
    <t xml:space="preserve">Critical</t>
  </si>
  <si>
    <t xml:space="preserve">R01</t>
  </si>
  <si>
    <t xml:space="preserve">Load job skipped rows that failed a target constraint without logging them</t>
  </si>
  <si>
    <t xml:space="preserve">Log and reject every skipped row. Add completeness check before cutover.</t>
  </si>
  <si>
    <t xml:space="preserve">Trial load 1</t>
  </si>
  <si>
    <t xml:space="preserve">Closed</t>
  </si>
  <si>
    <t xml:space="preserve">Retest passed on rehearsal 2 (0 exceptions)</t>
  </si>
  <si>
    <t xml:space="preserve">Records in target with no legacy source</t>
  </si>
  <si>
    <t xml:space="preserve">High</t>
  </si>
  <si>
    <t xml:space="preserve">R02</t>
  </si>
  <si>
    <t xml:space="preserve">Rows from an earlier test load were not purged before the trial load</t>
  </si>
  <si>
    <t xml:space="preserve">Purge target before each load. Add R02 as a pre-cutover gate.</t>
  </si>
  <si>
    <t xml:space="preserve">Duplicate payment_id in target</t>
  </si>
  <si>
    <t xml:space="preserve">R03</t>
  </si>
  <si>
    <t xml:space="preserve">Load job restarted mid-batch and re-inserted rows, no unique key enforced</t>
  </si>
  <si>
    <t xml:space="preserve">Enforce unique key on payment_id. Make load restartable.</t>
  </si>
  <si>
    <t xml:space="preserve">Amounts rounded to whole dollars (absolute error $201.46 in total)</t>
  </si>
  <si>
    <t xml:space="preserve">R04</t>
  </si>
  <si>
    <t xml:space="preserve">One ETL path cast amounts to integer</t>
  </si>
  <si>
    <t xml:space="preserve">Use Decimal(18,2) end to end. Remove integer cast.</t>
  </si>
  <si>
    <t xml:space="preserve">Originator account numbers truncated</t>
  </si>
  <si>
    <t xml:space="preserve">Medium</t>
  </si>
  <si>
    <t xml:space="preserve">R05</t>
  </si>
  <si>
    <t xml:space="preserve">Target column defined too narrow (see FG-04)</t>
  </si>
  <si>
    <t xml:space="preserve">Widen column to at least 11 characters (CR-004).</t>
  </si>
  <si>
    <t xml:space="preserve">Settlement date written as MM/DD/YYYY</t>
  </si>
  <si>
    <t xml:space="preserve">R06</t>
  </si>
  <si>
    <t xml:space="preserve">Second code path used a different date format</t>
  </si>
  <si>
    <t xml:space="preserve">Single ISO 8601 conversion function for all paths.</t>
  </si>
  <si>
    <t xml:space="preserve">Settlement date shifted by one day</t>
  </si>
  <si>
    <t xml:space="preserve">R07</t>
  </si>
  <si>
    <t xml:space="preserve">Timezone conversion moved some dates</t>
  </si>
  <si>
    <t xml:space="preserve">Convert dates without timezone logic.</t>
  </si>
  <si>
    <t xml:space="preserve">Beneficiary routing number blank</t>
  </si>
  <si>
    <t xml:space="preserve">R08</t>
  </si>
  <si>
    <t xml:space="preserve">Blank source field mapped without a required-field check</t>
  </si>
  <si>
    <t xml:space="preserve">Reject blanks before load. Add R08 and R17 as gates.</t>
  </si>
  <si>
    <t xml:space="preserve">Pending payments shown as settled</t>
  </si>
  <si>
    <t xml:space="preserve">R09</t>
  </si>
  <si>
    <t xml:space="preserve">Unmapped PND code defaulted to SETTLED</t>
  </si>
  <si>
    <t xml:space="preserve">Explicit lookup, reject unmapped codes.</t>
  </si>
  <si>
    <t xml:space="preserve">Fraud flag lost on conversion</t>
  </si>
  <si>
    <t xml:space="preserve">R10</t>
  </si>
  <si>
    <t xml:space="preserve">Boolean mapping dropped Y on a subset of rows</t>
  </si>
  <si>
    <t xml:space="preserve">Explicit Y to 1 mapping. Keep R10 as a Critical gate.</t>
  </si>
  <si>
    <t xml:space="preserve">Description</t>
  </si>
  <si>
    <t xml:space="preserve">Priority</t>
  </si>
  <si>
    <t xml:space="preserve">Defects (trial load 1)</t>
  </si>
  <si>
    <t xml:space="preserve">Latest Pass</t>
  </si>
  <si>
    <t xml:space="preserve">Latest Fail</t>
  </si>
  <si>
    <t xml:space="preserve">Every in-scope legacy payment shall exist in the target</t>
  </si>
  <si>
    <t xml:space="preserve">Must</t>
  </si>
  <si>
    <t xml:space="preserve">No payment_id shall appear more than once in the target</t>
  </si>
  <si>
    <t xml:space="preserve">No target payment shall exist without a legacy source</t>
  </si>
  <si>
    <t xml:space="preserve">Amount shall match the legacy value to the cent, no rounding</t>
  </si>
  <si>
    <t xml:space="preserve">Account numbers shall migrate at full length</t>
  </si>
  <si>
    <t xml:space="preserve">TC-05, TC-15</t>
  </si>
  <si>
    <t xml:space="preserve">Settlement date converts to ISO 8601 with the same date value</t>
  </si>
  <si>
    <t xml:space="preserve">TC-06, TC-07</t>
  </si>
  <si>
    <t xml:space="preserve">DEF-006, DEF-007</t>
  </si>
  <si>
    <t xml:space="preserve">Routing numbers present, 9 digits, ABA checksum valid, unchanged</t>
  </si>
  <si>
    <t xml:space="preserve">TC-08, TC-13, TC-14, TC-17</t>
  </si>
  <si>
    <t xml:space="preserve">Status codes map STL, PND, RTN with no defaulting</t>
  </si>
  <si>
    <t xml:space="preserve">Fraud flag preserved for every payment</t>
  </si>
  <si>
    <t xml:space="preserve">TC-10, TC-29</t>
  </si>
  <si>
    <t xml:space="preserve">Payment method and direction map correctly</t>
  </si>
  <si>
    <t xml:space="preserve">TC-11, TC-12</t>
  </si>
  <si>
    <t xml:space="preserve">Trace ID preserved unchanged</t>
  </si>
  <si>
    <t xml:space="preserve">Every exception logged with rule, severity, legacy and target values</t>
  </si>
  <si>
    <t xml:space="preserve">TC-27, TC-28</t>
  </si>
  <si>
    <t xml:space="preserve">Payment API accepts JSON, validates, returns structured errors</t>
  </si>
  <si>
    <t xml:space="preserve">Should</t>
  </si>
  <si>
    <t xml:space="preserve">TC-18, TC-19, TC-20, TC-21, TC-22, TC-23, TC-24</t>
  </si>
  <si>
    <t xml:space="preserve">Go-live needs zero open Critical and High exceptions and signed UAT</t>
  </si>
  <si>
    <t xml:space="preserve">TC-25, TC-26, TC-30</t>
  </si>
  <si>
    <t xml:space="preserve">Date</t>
  </si>
  <si>
    <t xml:space="preserve">Change</t>
  </si>
  <si>
    <t xml:space="preserve">Reason</t>
  </si>
  <si>
    <t xml:space="preserve">Impact</t>
  </si>
  <si>
    <t xml:space="preserve">Requested by</t>
  </si>
  <si>
    <t xml:space="preserve">Approver (fictional role)</t>
  </si>
  <si>
    <t xml:space="preserve">CR-001</t>
  </si>
  <si>
    <t xml:space="preserve">2026-10-07</t>
  </si>
  <si>
    <t xml:space="preserve">Add ABA checksum rule R17 to reconciliation</t>
  </si>
  <si>
    <t xml:space="preserve">API enforces ABA checksum, so reconciliation must check it too (FG-05)</t>
  </si>
  <si>
    <t xml:space="preserve">REQ-007, TC-17</t>
  </si>
  <si>
    <t xml:space="preserve">BA</t>
  </si>
  <si>
    <t xml:space="preserve">Core Platform Product Owner</t>
  </si>
  <si>
    <t xml:space="preserve">Implemented</t>
  </si>
  <si>
    <t xml:space="preserve">CR-002</t>
  </si>
  <si>
    <t xml:space="preserve">Add control rules R11 to R17 for clean fields</t>
  </si>
  <si>
    <t xml:space="preserve">Prove fields that should not change did not change</t>
  </si>
  <si>
    <t xml:space="preserve">REQ-005, 007, 010, 011, TC-11 to TC-17, TC-26</t>
  </si>
  <si>
    <t xml:space="preserve">QA Lead</t>
  </si>
  <si>
    <t xml:space="preserve">CR-003</t>
  </si>
  <si>
    <t xml:space="preserve">Classify missing records and fraud flag loss as Critical</t>
  </si>
  <si>
    <t xml:space="preserve">Both are irreversible if missed at cutover</t>
  </si>
  <si>
    <t xml:space="preserve">REQ-001, REQ-009, severity model</t>
  </si>
  <si>
    <t xml:space="preserve">Financial Crime and Compliance</t>
  </si>
  <si>
    <t xml:space="preserve">Approved</t>
  </si>
  <si>
    <t xml:space="preserve">CR-004</t>
  </si>
  <si>
    <t xml:space="preserve">Widen target account number columns to 11 or more characters</t>
  </si>
  <si>
    <t xml:space="preserve">Legacy accounts run to 11 characters (FG-04, DEF-005)</t>
  </si>
  <si>
    <t xml:space="preserve">REQ-005, TC-05</t>
  </si>
  <si>
    <t xml:space="preserve">Data Migration Lead</t>
  </si>
  <si>
    <t xml:space="preserve">Implemented in rehearsal 2</t>
  </si>
  <si>
    <t xml:space="preserve">CR-005</t>
  </si>
  <si>
    <t xml:space="preserve">Require Idempotency-Key header on payment API</t>
  </si>
  <si>
    <t xml:space="preserve">Prevent duplicate payment submission (TC-22)</t>
  </si>
  <si>
    <t xml:space="preserve">REQ-013, TC-22</t>
  </si>
  <si>
    <t xml:space="preserve">Implemented in spec v1.0</t>
  </si>
  <si>
    <t xml:space="preserve">Impact / detail</t>
  </si>
  <si>
    <t xml:space="preserve">Owner (fictional role)</t>
  </si>
  <si>
    <t xml:space="preserve">Next step</t>
  </si>
  <si>
    <t xml:space="preserve">Risk</t>
  </si>
  <si>
    <t xml:space="preserve">RK-01</t>
  </si>
  <si>
    <t xml:space="preserve">Offsetting errors hide in totals: net variance looks small while gross error is large</t>
  </si>
  <si>
    <t xml:space="preserve">High impact. Net variance $-4,452,155.93 vs $203,240,980 of missing, duplicate and orphan payments</t>
  </si>
  <si>
    <t xml:space="preserve">Finance Controller</t>
  </si>
  <si>
    <t xml:space="preserve">Reconcile every payment (R01 to R17), not just totals</t>
  </si>
  <si>
    <t xml:space="preserve">Mitigated</t>
  </si>
  <si>
    <t xml:space="preserve">RK-02</t>
  </si>
  <si>
    <t xml:space="preserve">Fraud flag dropped during conversion</t>
  </si>
  <si>
    <t xml:space="preserve">Critical. 10 flagged payments lost the flag in trial load 1, $25,818,752 affected</t>
  </si>
  <si>
    <t xml:space="preserve">R10 is a Critical gate. Compliance spot-check in UAT (TC-29)</t>
  </si>
  <si>
    <t xml:space="preserve">Open, pending UAT</t>
  </si>
  <si>
    <t xml:space="preserve">RK-03</t>
  </si>
  <si>
    <t xml:space="preserve">Pending payments reported as settled</t>
  </si>
  <si>
    <t xml:space="preserve">High. 400 of 5,038 pending payments affected in trial load 1</t>
  </si>
  <si>
    <t xml:space="preserve">Payments Operations</t>
  </si>
  <si>
    <t xml:space="preserve">Explicit status lookup, R09 gate</t>
  </si>
  <si>
    <t xml:space="preserve">RK-04</t>
  </si>
  <si>
    <t xml:space="preserve">Business users not available for UAT</t>
  </si>
  <si>
    <t xml:space="preserve">Medium. Go-live depends on TC-28 to TC-30</t>
  </si>
  <si>
    <t xml:space="preserve">Program Manager</t>
  </si>
  <si>
    <t xml:space="preserve">Book UAT slots before rehearsal 3</t>
  </si>
  <si>
    <t xml:space="preserve">Open</t>
  </si>
  <si>
    <t xml:space="preserve">RK-05</t>
  </si>
  <si>
    <t xml:space="preserve">Synthetic data may not reflect real production data quality</t>
  </si>
  <si>
    <t xml:space="preserve">Medium. Portfolio project, not a real conversion</t>
  </si>
  <si>
    <t xml:space="preserve">State this in the README and on the resume</t>
  </si>
  <si>
    <t xml:space="preserve">Accepted</t>
  </si>
  <si>
    <t xml:space="preserve">Assumption</t>
  </si>
  <si>
    <t xml:space="preserve">AS-01</t>
  </si>
  <si>
    <t xml:space="preserve">Legacy extract is complete and frozen at extract time</t>
  </si>
  <si>
    <t xml:space="preserve">Confirm extract control total with legacy team</t>
  </si>
  <si>
    <t xml:space="preserve">AS-02</t>
  </si>
  <si>
    <t xml:space="preserve">Synthetic routing numbers use prefix 99 so they cannot match a real bank</t>
  </si>
  <si>
    <t xml:space="preserve">None needed</t>
  </si>
  <si>
    <t xml:space="preserve">AS-03</t>
  </si>
  <si>
    <t xml:space="preserve">Business rules in the mapping document are approved by the business owner</t>
  </si>
  <si>
    <t xml:space="preserve">Head of Payments Operations</t>
  </si>
  <si>
    <t xml:space="preserve">Walk through mapping in review session</t>
  </si>
  <si>
    <t xml:space="preserve">Issue</t>
  </si>
  <si>
    <t xml:space="preserve">IS-01</t>
  </si>
  <si>
    <t xml:space="preserve">Trial load 1 produced 4,010 exceptions (4.01% of records)</t>
  </si>
  <si>
    <t xml:space="preserve">400 missing, 300 duplicate, 200 orphan, 10 fraud flags lost, and 6 other types</t>
  </si>
  <si>
    <t xml:space="preserve">Fix 10 defects, rerun as rehearsal 2</t>
  </si>
  <si>
    <t xml:space="preserve">Closed (rehearsal 2: 0 exceptions)</t>
  </si>
  <si>
    <t xml:space="preserve">IS-02</t>
  </si>
  <si>
    <t xml:space="preserve">Net control total variance would pass a net-only tolerance check</t>
  </si>
  <si>
    <t xml:space="preserve">$4,452,155.93 net vs $203,240,980 gross</t>
  </si>
  <si>
    <t xml:space="preserve">Adopt decision DC-01</t>
  </si>
  <si>
    <t xml:space="preserve">Decision</t>
  </si>
  <si>
    <t xml:space="preserve">DC-01</t>
  </si>
  <si>
    <t xml:space="preserve">Reconcile at payment level as well as in total</t>
  </si>
  <si>
    <t xml:space="preserve">Done: rules R01 to R17</t>
  </si>
  <si>
    <t xml:space="preserve">DC-02</t>
  </si>
  <si>
    <t xml:space="preserve">How to treat merchant (M-prefix) beneficiary accounts</t>
  </si>
  <si>
    <t xml:space="preserve">33,815 records have M-prefix beneficiaries (FG-12)</t>
  </si>
  <si>
    <t xml:space="preserve">Business owner to decide: add beneficiary type attribute or keep as is</t>
  </si>
  <si>
    <t xml:space="preserve">DC-03</t>
  </si>
  <si>
    <t xml:space="preserve">Severity model: Critical, High, Medium</t>
  </si>
  <si>
    <t xml:space="preserve">Done: defined in BRD section 7</t>
  </si>
  <si>
    <t xml:space="preserve">Dependency</t>
  </si>
  <si>
    <t xml:space="preserve">DP-01</t>
  </si>
  <si>
    <t xml:space="preserve">Platform team widens account number column (FG-04, CR-004)</t>
  </si>
  <si>
    <t xml:space="preserve">Blocks DEF-005 retest</t>
  </si>
  <si>
    <t xml:space="preserve">Applied in rehearsal 2</t>
  </si>
  <si>
    <t xml:space="preserve">Done</t>
  </si>
  <si>
    <t xml:space="preserve">DP-02</t>
  </si>
  <si>
    <t xml:space="preserve">Compliance availability for TC-29</t>
  </si>
  <si>
    <t xml:space="preserve">Blocks REQ-009 sign-off</t>
  </si>
  <si>
    <t xml:space="preserve">Schedule review</t>
  </si>
  <si>
    <t xml:space="preserve">DP-03</t>
  </si>
  <si>
    <t xml:space="preserve">Business owner approval of mapping rules</t>
  </si>
  <si>
    <t xml:space="preserve">Blocks AS-03</t>
  </si>
  <si>
    <t xml:space="preserve">Action</t>
  </si>
  <si>
    <t xml:space="preserve">AC-01</t>
  </si>
  <si>
    <t xml:space="preserve">Run UAT with Payments Operations (TC-28)</t>
  </si>
  <si>
    <t xml:space="preserve">Book session</t>
  </si>
  <si>
    <t xml:space="preserve">AC-02</t>
  </si>
  <si>
    <t xml:space="preserve">Get decision on merchant account handling (DC-02)</t>
  </si>
  <si>
    <t xml:space="preserve">Raise at next steering review</t>
  </si>
  <si>
    <t xml:space="preserve">AC-03</t>
  </si>
  <si>
    <t xml:space="preserve">Compliance spot-check of 122 fraud-flagged payments (TC-29)</t>
  </si>
  <si>
    <t xml:space="preserve">Rule</t>
  </si>
  <si>
    <t xml:space="preserve">Name</t>
  </si>
  <si>
    <t xml:space="preserve">Value of affected payments, trial load 1 (USD)</t>
  </si>
  <si>
    <t xml:space="preserve">MISSING_IN_TARGET</t>
  </si>
  <si>
    <t xml:space="preserve">ORPHAN_IN_TARGET</t>
  </si>
  <si>
    <t xml:space="preserve">DUPLICATE_ID</t>
  </si>
  <si>
    <t xml:space="preserve">AMOUNT_MISMATCH</t>
  </si>
  <si>
    <t xml:space="preserve">ORIG_ACCOUNT_MISMATCH</t>
  </si>
  <si>
    <t xml:space="preserve">DATE_NOT_ISO</t>
  </si>
  <si>
    <t xml:space="preserve">DATE_VALUE_MISMATCH</t>
  </si>
  <si>
    <t xml:space="preserve">ROUTING_MISSING_OR_INVALID</t>
  </si>
  <si>
    <t xml:space="preserve">STATUS_MISMATCH</t>
  </si>
  <si>
    <t xml:space="preserve">FRAUD_FLAG_MISMATCH</t>
  </si>
  <si>
    <t xml:space="preserve">R11</t>
  </si>
  <si>
    <t xml:space="preserve">PAYMENT_METHOD_MISMATCH</t>
  </si>
  <si>
    <t xml:space="preserve">R12</t>
  </si>
  <si>
    <t xml:space="preserve">DIRECTION_MISMATCH</t>
  </si>
  <si>
    <t xml:space="preserve">R13</t>
  </si>
  <si>
    <t xml:space="preserve">ORIG_ROUTING_VALUE_MISMATCH</t>
  </si>
  <si>
    <t xml:space="preserve">R14</t>
  </si>
  <si>
    <t xml:space="preserve">BENE_ROUTING_VALUE_MISMATCH</t>
  </si>
  <si>
    <t xml:space="preserve">R15</t>
  </si>
  <si>
    <t xml:space="preserve">BENE_ACCOUNT_MISMATCH</t>
  </si>
  <si>
    <t xml:space="preserve">R16</t>
  </si>
  <si>
    <t xml:space="preserve">TRACE_ID_MISMATCH</t>
  </si>
  <si>
    <t xml:space="preserve">R17</t>
  </si>
  <si>
    <t xml:space="preserve">ROUTING_CHECKSUM_INVALID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</si>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</sst>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COUNTA('Test Cases'!$A$4:$A$33)</f>
        <v>30</v>
      </c>
    </row>
    <row r="5" customFormat="false" ht="15" hidden="false" customHeight="false" outlineLevel="0" collapsed="false">
      <c r="A5" s="3" t="s">
        <v>3</v>
      </c>
      <c r="B5" s="4" t="n">
        <f aca="false">COUNTIF('Test Cases'!$L$4:$L$33,"Pass")</f>
        <v>27</v>
      </c>
    </row>
    <row r="6" customFormat="false" ht="15" hidden="false" customHeight="false" outlineLevel="0" collapsed="false">
      <c r="A6" s="3" t="s">
        <v>4</v>
      </c>
      <c r="B6" s="4" t="n">
        <f aca="false">COUNTIF('Test Cases'!$L$4:$L$33,"Fail")</f>
        <v>0</v>
      </c>
    </row>
    <row r="7" customFormat="false" ht="15" hidden="false" customHeight="false" outlineLevel="0" collapsed="false">
      <c r="A7" s="3" t="s">
        <v>5</v>
      </c>
      <c r="B7" s="4" t="n">
        <f aca="false">COUNTIF('Test Cases'!$L$4:$L$33,"Not Run")</f>
        <v>3</v>
      </c>
    </row>
    <row r="8" customFormat="false" ht="15" hidden="false" customHeight="false" outlineLevel="0" collapsed="false">
      <c r="A8" s="3" t="s">
        <v>6</v>
      </c>
      <c r="B8" s="4" t="n">
        <f aca="false">COUNTA('Defect Log'!$A$4:$A$13)</f>
        <v>10</v>
      </c>
    </row>
    <row r="9" customFormat="false" ht="15" hidden="false" customHeight="false" outlineLevel="0" collapsed="false">
      <c r="A9" s="3" t="s">
        <v>7</v>
      </c>
      <c r="B9" s="4" t="n">
        <f aca="false">COUNTIF('Defect Log'!$C$4:$C$13,"Critical")</f>
        <v>2</v>
      </c>
    </row>
    <row r="10" customFormat="false" ht="15" hidden="false" customHeight="false" outlineLevel="0" collapsed="false">
      <c r="A10" s="3" t="s">
        <v>8</v>
      </c>
      <c r="B10" s="4" t="n">
        <f aca="false">COUNTIF('Defect Log'!$C$4:$C$13,"High")</f>
        <v>6</v>
      </c>
    </row>
    <row r="11" customFormat="false" ht="15" hidden="false" customHeight="false" outlineLevel="0" collapsed="false">
      <c r="A11" s="3" t="s">
        <v>9</v>
      </c>
      <c r="B11" s="4" t="n">
        <f aca="false">COUNTIF('Defect Log'!$C$4:$C$13,"Medium")</f>
        <v>2</v>
      </c>
    </row>
    <row r="12" customFormat="false" ht="15" hidden="false" customHeight="false" outlineLevel="0" collapsed="false">
      <c r="A12" s="3" t="s">
        <v>10</v>
      </c>
      <c r="B12" s="4" t="n">
        <f aca="false">COUNTIF('Defect Log'!$K$4:$K$13,"Closed")</f>
        <v>10</v>
      </c>
    </row>
    <row r="13" customFormat="false" ht="15" hidden="false" customHeight="false" outlineLevel="0" collapsed="false">
      <c r="A13" s="3" t="s">
        <v>11</v>
      </c>
      <c r="B13" s="4" t="n">
        <f aca="false">COUNTA(RTM!$A$4:$A$17)</f>
        <v>14</v>
      </c>
    </row>
    <row r="14" customFormat="false" ht="15" hidden="false" customHeight="false" outlineLevel="0" collapsed="false">
      <c r="A14" s="3" t="s">
        <v>12</v>
      </c>
      <c r="B14" s="4" t="n">
        <f aca="false">COUNTIF(RTM!$I$4:$I$17,"Pass")</f>
        <v>11</v>
      </c>
    </row>
    <row r="15" customFormat="false" ht="15" hidden="false" customHeight="false" outlineLevel="0" collapsed="false">
      <c r="A15" s="3" t="s">
        <v>13</v>
      </c>
      <c r="B15" s="4" t="n">
        <f aca="false">COUNTIF(RTM!$I$4:$I$17,"Pending UAT")</f>
        <v>3</v>
      </c>
    </row>
    <row r="16" customFormat="false" ht="15" hidden="false" customHeight="false" outlineLevel="0" collapsed="false">
      <c r="A16" s="3" t="s">
        <v>14</v>
      </c>
      <c r="B16" s="4" t="n">
        <f aca="false">'Recon Results'!D21</f>
        <v>4010</v>
      </c>
    </row>
    <row r="17" customFormat="false" ht="15" hidden="false" customHeight="false" outlineLevel="0" collapsed="false">
      <c r="A17" s="3" t="s">
        <v>15</v>
      </c>
      <c r="B17" s="4" t="n">
        <f aca="false">'Recon Results'!E21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22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2" t="s">
        <v>1</v>
      </c>
    </row>
    <row r="3" customFormat="false" ht="23.8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</row>
    <row r="4" customFormat="false" ht="23.85" hidden="false" customHeight="false" outlineLevel="0" collapsed="false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33</v>
      </c>
      <c r="K4" s="6" t="s">
        <v>37</v>
      </c>
      <c r="L4" s="6" t="str">
        <f aca="false">IF(I4="N/A",G4,I4)</f>
        <v>Pass</v>
      </c>
    </row>
    <row r="5" customFormat="false" ht="15" hidden="false" customHeight="false" outlineLevel="0" collapsed="false">
      <c r="A5" s="6" t="s">
        <v>38</v>
      </c>
      <c r="B5" s="6" t="s">
        <v>29</v>
      </c>
      <c r="C5" s="6" t="s">
        <v>39</v>
      </c>
      <c r="D5" s="6" t="s">
        <v>40</v>
      </c>
      <c r="E5" s="6" t="s">
        <v>41</v>
      </c>
      <c r="F5" s="6" t="s">
        <v>33</v>
      </c>
      <c r="G5" s="6" t="s">
        <v>34</v>
      </c>
      <c r="H5" s="6" t="s">
        <v>42</v>
      </c>
      <c r="I5" s="6" t="s">
        <v>36</v>
      </c>
      <c r="J5" s="6" t="s">
        <v>33</v>
      </c>
      <c r="K5" s="6" t="s">
        <v>43</v>
      </c>
      <c r="L5" s="6" t="str">
        <f aca="false">IF(I5="N/A",G5,I5)</f>
        <v>Pass</v>
      </c>
    </row>
    <row r="6" customFormat="false" ht="15" hidden="false" customHeight="false" outlineLevel="0" collapsed="false">
      <c r="A6" s="6" t="s">
        <v>44</v>
      </c>
      <c r="B6" s="6" t="s">
        <v>29</v>
      </c>
      <c r="C6" s="6" t="s">
        <v>45</v>
      </c>
      <c r="D6" s="6" t="s">
        <v>46</v>
      </c>
      <c r="E6" s="6" t="s">
        <v>47</v>
      </c>
      <c r="F6" s="6" t="s">
        <v>33</v>
      </c>
      <c r="G6" s="6" t="s">
        <v>34</v>
      </c>
      <c r="H6" s="6" t="s">
        <v>48</v>
      </c>
      <c r="I6" s="6" t="s">
        <v>36</v>
      </c>
      <c r="J6" s="6" t="s">
        <v>33</v>
      </c>
      <c r="K6" s="6" t="s">
        <v>49</v>
      </c>
      <c r="L6" s="6" t="str">
        <f aca="false">IF(I6="N/A",G6,I6)</f>
        <v>Pass</v>
      </c>
    </row>
    <row r="7" customFormat="false" ht="15" hidden="false" customHeight="false" outlineLevel="0" collapsed="false">
      <c r="A7" s="6" t="s">
        <v>50</v>
      </c>
      <c r="B7" s="6" t="s">
        <v>29</v>
      </c>
      <c r="C7" s="6" t="s">
        <v>51</v>
      </c>
      <c r="D7" s="6" t="s">
        <v>52</v>
      </c>
      <c r="E7" s="6" t="s">
        <v>53</v>
      </c>
      <c r="F7" s="6" t="s">
        <v>33</v>
      </c>
      <c r="G7" s="6" t="s">
        <v>34</v>
      </c>
      <c r="H7" s="6" t="s">
        <v>54</v>
      </c>
      <c r="I7" s="6" t="s">
        <v>36</v>
      </c>
      <c r="J7" s="6" t="s">
        <v>33</v>
      </c>
      <c r="K7" s="6" t="s">
        <v>55</v>
      </c>
      <c r="L7" s="6" t="str">
        <f aca="false">IF(I7="N/A",G7,I7)</f>
        <v>Pass</v>
      </c>
    </row>
    <row r="8" customFormat="false" ht="15" hidden="false" customHeight="false" outlineLevel="0" collapsed="false">
      <c r="A8" s="6" t="s">
        <v>56</v>
      </c>
      <c r="B8" s="6" t="s">
        <v>29</v>
      </c>
      <c r="C8" s="6" t="s">
        <v>57</v>
      </c>
      <c r="D8" s="6" t="s">
        <v>58</v>
      </c>
      <c r="E8" s="6" t="s">
        <v>59</v>
      </c>
      <c r="F8" s="6" t="s">
        <v>33</v>
      </c>
      <c r="G8" s="6" t="s">
        <v>34</v>
      </c>
      <c r="H8" s="6" t="s">
        <v>60</v>
      </c>
      <c r="I8" s="6" t="s">
        <v>36</v>
      </c>
      <c r="J8" s="6" t="s">
        <v>33</v>
      </c>
      <c r="K8" s="6" t="s">
        <v>61</v>
      </c>
      <c r="L8" s="6" t="str">
        <f aca="false">IF(I8="N/A",G8,I8)</f>
        <v>Pass</v>
      </c>
    </row>
    <row r="9" customFormat="false" ht="15" hidden="false" customHeight="false" outlineLevel="0" collapsed="false">
      <c r="A9" s="6" t="s">
        <v>62</v>
      </c>
      <c r="B9" s="6" t="s">
        <v>29</v>
      </c>
      <c r="C9" s="6" t="s">
        <v>63</v>
      </c>
      <c r="D9" s="6" t="s">
        <v>64</v>
      </c>
      <c r="E9" s="6" t="s">
        <v>65</v>
      </c>
      <c r="F9" s="6" t="s">
        <v>33</v>
      </c>
      <c r="G9" s="6" t="s">
        <v>34</v>
      </c>
      <c r="H9" s="6" t="s">
        <v>66</v>
      </c>
      <c r="I9" s="6" t="s">
        <v>36</v>
      </c>
      <c r="J9" s="6" t="s">
        <v>33</v>
      </c>
      <c r="K9" s="6" t="s">
        <v>67</v>
      </c>
      <c r="L9" s="6" t="str">
        <f aca="false">IF(I9="N/A",G9,I9)</f>
        <v>Pass</v>
      </c>
    </row>
    <row r="10" customFormat="false" ht="15" hidden="false" customHeight="false" outlineLevel="0" collapsed="false">
      <c r="A10" s="6" t="s">
        <v>68</v>
      </c>
      <c r="B10" s="6" t="s">
        <v>29</v>
      </c>
      <c r="C10" s="6" t="s">
        <v>69</v>
      </c>
      <c r="D10" s="6" t="s">
        <v>64</v>
      </c>
      <c r="E10" s="6" t="s">
        <v>70</v>
      </c>
      <c r="F10" s="6" t="s">
        <v>33</v>
      </c>
      <c r="G10" s="6" t="s">
        <v>34</v>
      </c>
      <c r="H10" s="6" t="s">
        <v>48</v>
      </c>
      <c r="I10" s="6" t="s">
        <v>36</v>
      </c>
      <c r="J10" s="6" t="s">
        <v>33</v>
      </c>
      <c r="K10" s="6" t="s">
        <v>71</v>
      </c>
      <c r="L10" s="6" t="str">
        <f aca="false">IF(I10="N/A",G10,I10)</f>
        <v>Pass</v>
      </c>
    </row>
    <row r="11" customFormat="false" ht="15" hidden="false" customHeight="false" outlineLevel="0" collapsed="false">
      <c r="A11" s="6" t="s">
        <v>72</v>
      </c>
      <c r="B11" s="6" t="s">
        <v>29</v>
      </c>
      <c r="C11" s="6" t="s">
        <v>73</v>
      </c>
      <c r="D11" s="6" t="s">
        <v>74</v>
      </c>
      <c r="E11" s="6" t="s">
        <v>75</v>
      </c>
      <c r="F11" s="6" t="s">
        <v>33</v>
      </c>
      <c r="G11" s="6" t="s">
        <v>34</v>
      </c>
      <c r="H11" s="6" t="s">
        <v>60</v>
      </c>
      <c r="I11" s="6" t="s">
        <v>36</v>
      </c>
      <c r="J11" s="6" t="s">
        <v>33</v>
      </c>
      <c r="K11" s="6" t="s">
        <v>76</v>
      </c>
      <c r="L11" s="6" t="str">
        <f aca="false">IF(I11="N/A",G11,I11)</f>
        <v>Pass</v>
      </c>
    </row>
    <row r="12" customFormat="false" ht="23.85" hidden="false" customHeight="false" outlineLevel="0" collapsed="false">
      <c r="A12" s="6" t="s">
        <v>77</v>
      </c>
      <c r="B12" s="6" t="s">
        <v>29</v>
      </c>
      <c r="C12" s="6" t="s">
        <v>78</v>
      </c>
      <c r="D12" s="6" t="s">
        <v>79</v>
      </c>
      <c r="E12" s="6" t="s">
        <v>80</v>
      </c>
      <c r="F12" s="6" t="s">
        <v>33</v>
      </c>
      <c r="G12" s="6" t="s">
        <v>34</v>
      </c>
      <c r="H12" s="6" t="s">
        <v>35</v>
      </c>
      <c r="I12" s="6" t="s">
        <v>36</v>
      </c>
      <c r="J12" s="6" t="s">
        <v>33</v>
      </c>
      <c r="K12" s="6" t="s">
        <v>81</v>
      </c>
      <c r="L12" s="6" t="str">
        <f aca="false">IF(I12="N/A",G12,I12)</f>
        <v>Pass</v>
      </c>
    </row>
    <row r="13" customFormat="false" ht="15" hidden="false" customHeight="false" outlineLevel="0" collapsed="false">
      <c r="A13" s="6" t="s">
        <v>82</v>
      </c>
      <c r="B13" s="6" t="s">
        <v>29</v>
      </c>
      <c r="C13" s="6" t="s">
        <v>83</v>
      </c>
      <c r="D13" s="6" t="s">
        <v>84</v>
      </c>
      <c r="E13" s="6" t="s">
        <v>85</v>
      </c>
      <c r="F13" s="6" t="s">
        <v>33</v>
      </c>
      <c r="G13" s="6" t="s">
        <v>34</v>
      </c>
      <c r="H13" s="6" t="s">
        <v>86</v>
      </c>
      <c r="I13" s="6" t="s">
        <v>36</v>
      </c>
      <c r="J13" s="6" t="s">
        <v>33</v>
      </c>
      <c r="K13" s="6" t="s">
        <v>87</v>
      </c>
      <c r="L13" s="6" t="str">
        <f aca="false">IF(I13="N/A",G13,I13)</f>
        <v>Pass</v>
      </c>
    </row>
    <row r="14" customFormat="false" ht="15" hidden="false" customHeight="false" outlineLevel="0" collapsed="false">
      <c r="A14" s="6" t="s">
        <v>88</v>
      </c>
      <c r="B14" s="6" t="s">
        <v>29</v>
      </c>
      <c r="C14" s="6" t="s">
        <v>89</v>
      </c>
      <c r="D14" s="6" t="s">
        <v>90</v>
      </c>
      <c r="E14" s="6" t="s">
        <v>91</v>
      </c>
      <c r="F14" s="6" t="s">
        <v>33</v>
      </c>
      <c r="G14" s="6" t="s">
        <v>36</v>
      </c>
      <c r="H14" s="6" t="s">
        <v>33</v>
      </c>
      <c r="I14" s="6" t="s">
        <v>36</v>
      </c>
      <c r="J14" s="6" t="s">
        <v>33</v>
      </c>
      <c r="K14" s="6"/>
      <c r="L14" s="6" t="str">
        <f aca="false">IF(I14="N/A",G14,I14)</f>
        <v>Pass</v>
      </c>
    </row>
    <row r="15" customFormat="false" ht="15" hidden="false" customHeight="false" outlineLevel="0" collapsed="false">
      <c r="A15" s="6" t="s">
        <v>92</v>
      </c>
      <c r="B15" s="6" t="s">
        <v>29</v>
      </c>
      <c r="C15" s="6" t="s">
        <v>93</v>
      </c>
      <c r="D15" s="6" t="s">
        <v>90</v>
      </c>
      <c r="E15" s="6" t="s">
        <v>94</v>
      </c>
      <c r="F15" s="6" t="s">
        <v>33</v>
      </c>
      <c r="G15" s="6" t="s">
        <v>36</v>
      </c>
      <c r="H15" s="6" t="s">
        <v>33</v>
      </c>
      <c r="I15" s="6" t="s">
        <v>36</v>
      </c>
      <c r="J15" s="6" t="s">
        <v>33</v>
      </c>
      <c r="K15" s="6"/>
      <c r="L15" s="6" t="str">
        <f aca="false">IF(I15="N/A",G15,I15)</f>
        <v>Pass</v>
      </c>
    </row>
    <row r="16" customFormat="false" ht="15" hidden="false" customHeight="false" outlineLevel="0" collapsed="false">
      <c r="A16" s="6" t="s">
        <v>95</v>
      </c>
      <c r="B16" s="6" t="s">
        <v>29</v>
      </c>
      <c r="C16" s="6" t="s">
        <v>96</v>
      </c>
      <c r="D16" s="6" t="s">
        <v>74</v>
      </c>
      <c r="E16" s="6" t="s">
        <v>97</v>
      </c>
      <c r="F16" s="6" t="s">
        <v>33</v>
      </c>
      <c r="G16" s="6" t="s">
        <v>36</v>
      </c>
      <c r="H16" s="6" t="s">
        <v>33</v>
      </c>
      <c r="I16" s="6" t="s">
        <v>36</v>
      </c>
      <c r="J16" s="6" t="s">
        <v>33</v>
      </c>
      <c r="K16" s="6"/>
      <c r="L16" s="6" t="str">
        <f aca="false">IF(I16="N/A",G16,I16)</f>
        <v>Pass</v>
      </c>
    </row>
    <row r="17" customFormat="false" ht="15" hidden="false" customHeight="false" outlineLevel="0" collapsed="false">
      <c r="A17" s="6" t="s">
        <v>98</v>
      </c>
      <c r="B17" s="6" t="s">
        <v>29</v>
      </c>
      <c r="C17" s="6" t="s">
        <v>99</v>
      </c>
      <c r="D17" s="6" t="s">
        <v>74</v>
      </c>
      <c r="E17" s="6" t="s">
        <v>100</v>
      </c>
      <c r="F17" s="6" t="s">
        <v>33</v>
      </c>
      <c r="G17" s="6" t="s">
        <v>36</v>
      </c>
      <c r="H17" s="6" t="s">
        <v>33</v>
      </c>
      <c r="I17" s="6" t="s">
        <v>36</v>
      </c>
      <c r="J17" s="6" t="s">
        <v>33</v>
      </c>
      <c r="K17" s="6"/>
      <c r="L17" s="6" t="str">
        <f aca="false">IF(I17="N/A",G17,I17)</f>
        <v>Pass</v>
      </c>
    </row>
    <row r="18" customFormat="false" ht="15" hidden="false" customHeight="false" outlineLevel="0" collapsed="false">
      <c r="A18" s="6" t="s">
        <v>101</v>
      </c>
      <c r="B18" s="6" t="s">
        <v>29</v>
      </c>
      <c r="C18" s="6" t="s">
        <v>102</v>
      </c>
      <c r="D18" s="6" t="s">
        <v>58</v>
      </c>
      <c r="E18" s="6" t="s">
        <v>103</v>
      </c>
      <c r="F18" s="6" t="s">
        <v>33</v>
      </c>
      <c r="G18" s="6" t="s">
        <v>36</v>
      </c>
      <c r="H18" s="6" t="s">
        <v>33</v>
      </c>
      <c r="I18" s="6" t="s">
        <v>36</v>
      </c>
      <c r="J18" s="6" t="s">
        <v>33</v>
      </c>
      <c r="K18" s="6"/>
      <c r="L18" s="6" t="str">
        <f aca="false">IF(I18="N/A",G18,I18)</f>
        <v>Pass</v>
      </c>
    </row>
    <row r="19" customFormat="false" ht="15" hidden="false" customHeight="false" outlineLevel="0" collapsed="false">
      <c r="A19" s="6" t="s">
        <v>104</v>
      </c>
      <c r="B19" s="6" t="s">
        <v>29</v>
      </c>
      <c r="C19" s="6" t="s">
        <v>105</v>
      </c>
      <c r="D19" s="6" t="s">
        <v>106</v>
      </c>
      <c r="E19" s="6" t="s">
        <v>107</v>
      </c>
      <c r="F19" s="6" t="s">
        <v>33</v>
      </c>
      <c r="G19" s="6" t="s">
        <v>36</v>
      </c>
      <c r="H19" s="6" t="s">
        <v>33</v>
      </c>
      <c r="I19" s="6" t="s">
        <v>36</v>
      </c>
      <c r="J19" s="6" t="s">
        <v>33</v>
      </c>
      <c r="K19" s="6"/>
      <c r="L19" s="6" t="str">
        <f aca="false">IF(I19="N/A",G19,I19)</f>
        <v>Pass</v>
      </c>
    </row>
    <row r="20" customFormat="false" ht="15" hidden="false" customHeight="false" outlineLevel="0" collapsed="false">
      <c r="A20" s="6" t="s">
        <v>108</v>
      </c>
      <c r="B20" s="6" t="s">
        <v>29</v>
      </c>
      <c r="C20" s="6" t="s">
        <v>109</v>
      </c>
      <c r="D20" s="6" t="s">
        <v>74</v>
      </c>
      <c r="E20" s="6" t="s">
        <v>110</v>
      </c>
      <c r="F20" s="6" t="s">
        <v>33</v>
      </c>
      <c r="G20" s="6" t="s">
        <v>36</v>
      </c>
      <c r="H20" s="6" t="s">
        <v>33</v>
      </c>
      <c r="I20" s="6" t="s">
        <v>36</v>
      </c>
      <c r="J20" s="6" t="s">
        <v>33</v>
      </c>
      <c r="K20" s="6"/>
      <c r="L20" s="6" t="str">
        <f aca="false">IF(I20="N/A",G20,I20)</f>
        <v>Pass</v>
      </c>
    </row>
    <row r="21" customFormat="false" ht="23.85" hidden="false" customHeight="false" outlineLevel="0" collapsed="false">
      <c r="A21" s="6" t="s">
        <v>111</v>
      </c>
      <c r="B21" s="6" t="s">
        <v>29</v>
      </c>
      <c r="C21" s="6" t="s">
        <v>112</v>
      </c>
      <c r="D21" s="6" t="s">
        <v>113</v>
      </c>
      <c r="E21" s="6" t="s">
        <v>114</v>
      </c>
      <c r="F21" s="6" t="s">
        <v>115</v>
      </c>
      <c r="G21" s="6" t="s">
        <v>36</v>
      </c>
      <c r="H21" s="6" t="s">
        <v>115</v>
      </c>
      <c r="I21" s="6" t="s">
        <v>116</v>
      </c>
      <c r="J21" s="6" t="s">
        <v>117</v>
      </c>
      <c r="K21" s="6"/>
      <c r="L21" s="6" t="str">
        <f aca="false">IF(I21="N/A",G21,I21)</f>
        <v>Pass</v>
      </c>
    </row>
    <row r="22" customFormat="false" ht="35.05" hidden="false" customHeight="false" outlineLevel="0" collapsed="false">
      <c r="A22" s="6" t="s">
        <v>118</v>
      </c>
      <c r="B22" s="6" t="s">
        <v>29</v>
      </c>
      <c r="C22" s="6" t="s">
        <v>119</v>
      </c>
      <c r="D22" s="6" t="s">
        <v>113</v>
      </c>
      <c r="E22" s="6" t="s">
        <v>120</v>
      </c>
      <c r="F22" s="6" t="s">
        <v>121</v>
      </c>
      <c r="G22" s="6" t="s">
        <v>36</v>
      </c>
      <c r="H22" s="6" t="s">
        <v>121</v>
      </c>
      <c r="I22" s="6" t="s">
        <v>116</v>
      </c>
      <c r="J22" s="6" t="s">
        <v>117</v>
      </c>
      <c r="K22" s="6"/>
      <c r="L22" s="6" t="str">
        <f aca="false">IF(I22="N/A",G22,I22)</f>
        <v>Pass</v>
      </c>
    </row>
    <row r="23" customFormat="false" ht="23.85" hidden="false" customHeight="false" outlineLevel="0" collapsed="false">
      <c r="A23" s="6" t="s">
        <v>122</v>
      </c>
      <c r="B23" s="6" t="s">
        <v>29</v>
      </c>
      <c r="C23" s="6" t="s">
        <v>123</v>
      </c>
      <c r="D23" s="6" t="s">
        <v>113</v>
      </c>
      <c r="E23" s="6" t="s">
        <v>124</v>
      </c>
      <c r="F23" s="6" t="s">
        <v>125</v>
      </c>
      <c r="G23" s="6" t="s">
        <v>36</v>
      </c>
      <c r="H23" s="6" t="s">
        <v>125</v>
      </c>
      <c r="I23" s="6" t="s">
        <v>116</v>
      </c>
      <c r="J23" s="6" t="s">
        <v>117</v>
      </c>
      <c r="K23" s="6"/>
      <c r="L23" s="6" t="str">
        <f aca="false">IF(I23="N/A",G23,I23)</f>
        <v>Pass</v>
      </c>
    </row>
    <row r="24" customFormat="false" ht="23.85" hidden="false" customHeight="false" outlineLevel="0" collapsed="false">
      <c r="A24" s="6" t="s">
        <v>126</v>
      </c>
      <c r="B24" s="6" t="s">
        <v>29</v>
      </c>
      <c r="C24" s="6" t="s">
        <v>127</v>
      </c>
      <c r="D24" s="6" t="s">
        <v>113</v>
      </c>
      <c r="E24" s="6" t="s">
        <v>128</v>
      </c>
      <c r="F24" s="6" t="s">
        <v>129</v>
      </c>
      <c r="G24" s="6" t="s">
        <v>36</v>
      </c>
      <c r="H24" s="6" t="s">
        <v>129</v>
      </c>
      <c r="I24" s="6" t="s">
        <v>116</v>
      </c>
      <c r="J24" s="6" t="s">
        <v>117</v>
      </c>
      <c r="K24" s="6"/>
      <c r="L24" s="6" t="str">
        <f aca="false">IF(I24="N/A",G24,I24)</f>
        <v>Pass</v>
      </c>
    </row>
    <row r="25" customFormat="false" ht="35.05" hidden="false" customHeight="false" outlineLevel="0" collapsed="false">
      <c r="A25" s="6" t="s">
        <v>130</v>
      </c>
      <c r="B25" s="6" t="s">
        <v>29</v>
      </c>
      <c r="C25" s="6" t="s">
        <v>131</v>
      </c>
      <c r="D25" s="6" t="s">
        <v>113</v>
      </c>
      <c r="E25" s="6" t="s">
        <v>132</v>
      </c>
      <c r="F25" s="6" t="s">
        <v>133</v>
      </c>
      <c r="G25" s="6" t="s">
        <v>36</v>
      </c>
      <c r="H25" s="6" t="s">
        <v>133</v>
      </c>
      <c r="I25" s="6" t="s">
        <v>116</v>
      </c>
      <c r="J25" s="6" t="s">
        <v>117</v>
      </c>
      <c r="K25" s="6"/>
      <c r="L25" s="6" t="str">
        <f aca="false">IF(I25="N/A",G25,I25)</f>
        <v>Pass</v>
      </c>
    </row>
    <row r="26" customFormat="false" ht="23.85" hidden="false" customHeight="false" outlineLevel="0" collapsed="false">
      <c r="A26" s="6" t="s">
        <v>134</v>
      </c>
      <c r="B26" s="6" t="s">
        <v>29</v>
      </c>
      <c r="C26" s="6" t="s">
        <v>135</v>
      </c>
      <c r="D26" s="6" t="s">
        <v>113</v>
      </c>
      <c r="E26" s="6" t="s">
        <v>136</v>
      </c>
      <c r="F26" s="6" t="s">
        <v>137</v>
      </c>
      <c r="G26" s="6" t="s">
        <v>36</v>
      </c>
      <c r="H26" s="6" t="s">
        <v>137</v>
      </c>
      <c r="I26" s="6" t="s">
        <v>116</v>
      </c>
      <c r="J26" s="6" t="s">
        <v>117</v>
      </c>
      <c r="K26" s="6"/>
      <c r="L26" s="6" t="str">
        <f aca="false">IF(I26="N/A",G26,I26)</f>
        <v>Pass</v>
      </c>
    </row>
    <row r="27" customFormat="false" ht="23.85" hidden="false" customHeight="false" outlineLevel="0" collapsed="false">
      <c r="A27" s="6" t="s">
        <v>138</v>
      </c>
      <c r="B27" s="6" t="s">
        <v>29</v>
      </c>
      <c r="C27" s="6" t="s">
        <v>139</v>
      </c>
      <c r="D27" s="6" t="s">
        <v>113</v>
      </c>
      <c r="E27" s="6" t="s">
        <v>140</v>
      </c>
      <c r="F27" s="6" t="s">
        <v>141</v>
      </c>
      <c r="G27" s="6" t="s">
        <v>36</v>
      </c>
      <c r="H27" s="6" t="s">
        <v>141</v>
      </c>
      <c r="I27" s="6" t="s">
        <v>116</v>
      </c>
      <c r="J27" s="6" t="s">
        <v>117</v>
      </c>
      <c r="K27" s="6"/>
      <c r="L27" s="6" t="str">
        <f aca="false">IF(I27="N/A",G27,I27)</f>
        <v>Pass</v>
      </c>
    </row>
    <row r="28" customFormat="false" ht="23.85" hidden="false" customHeight="false" outlineLevel="0" collapsed="false">
      <c r="A28" s="6" t="s">
        <v>142</v>
      </c>
      <c r="B28" s="6" t="s">
        <v>29</v>
      </c>
      <c r="C28" s="6" t="s">
        <v>143</v>
      </c>
      <c r="D28" s="6" t="s">
        <v>144</v>
      </c>
      <c r="E28" s="6" t="s">
        <v>145</v>
      </c>
      <c r="F28" s="6" t="s">
        <v>146</v>
      </c>
      <c r="G28" s="6" t="s">
        <v>34</v>
      </c>
      <c r="H28" s="6" t="s">
        <v>147</v>
      </c>
      <c r="I28" s="6" t="s">
        <v>36</v>
      </c>
      <c r="J28" s="6" t="s">
        <v>148</v>
      </c>
      <c r="K28" s="6" t="s">
        <v>149</v>
      </c>
      <c r="L28" s="6" t="str">
        <f aca="false">IF(I28="N/A",G28,I28)</f>
        <v>Pass</v>
      </c>
    </row>
    <row r="29" customFormat="false" ht="23.85" hidden="false" customHeight="false" outlineLevel="0" collapsed="false">
      <c r="A29" s="6" t="s">
        <v>150</v>
      </c>
      <c r="B29" s="6" t="s">
        <v>151</v>
      </c>
      <c r="C29" s="6" t="s">
        <v>152</v>
      </c>
      <c r="D29" s="6" t="s">
        <v>144</v>
      </c>
      <c r="E29" s="6" t="s">
        <v>153</v>
      </c>
      <c r="F29" s="6" t="s">
        <v>33</v>
      </c>
      <c r="G29" s="6" t="s">
        <v>116</v>
      </c>
      <c r="H29" s="6" t="s">
        <v>154</v>
      </c>
      <c r="I29" s="6" t="s">
        <v>36</v>
      </c>
      <c r="J29" s="6" t="s">
        <v>155</v>
      </c>
      <c r="K29" s="6"/>
      <c r="L29" s="6" t="str">
        <f aca="false">IF(I29="N/A",G29,I29)</f>
        <v>Pass</v>
      </c>
    </row>
    <row r="30" customFormat="false" ht="23.85" hidden="false" customHeight="false" outlineLevel="0" collapsed="false">
      <c r="A30" s="6" t="s">
        <v>156</v>
      </c>
      <c r="B30" s="6" t="s">
        <v>29</v>
      </c>
      <c r="C30" s="6" t="s">
        <v>157</v>
      </c>
      <c r="D30" s="6" t="s">
        <v>158</v>
      </c>
      <c r="E30" s="6" t="s">
        <v>159</v>
      </c>
      <c r="F30" s="6" t="s">
        <v>160</v>
      </c>
      <c r="G30" s="6" t="s">
        <v>36</v>
      </c>
      <c r="H30" s="6" t="s">
        <v>161</v>
      </c>
      <c r="I30" s="6" t="s">
        <v>116</v>
      </c>
      <c r="J30" s="6" t="s">
        <v>162</v>
      </c>
      <c r="K30" s="6"/>
      <c r="L30" s="6" t="str">
        <f aca="false">IF(I30="N/A",G30,I30)</f>
        <v>Pass</v>
      </c>
    </row>
    <row r="31" customFormat="false" ht="23.85" hidden="false" customHeight="false" outlineLevel="0" collapsed="false">
      <c r="A31" s="6" t="s">
        <v>163</v>
      </c>
      <c r="B31" s="6" t="s">
        <v>164</v>
      </c>
      <c r="C31" s="6" t="s">
        <v>165</v>
      </c>
      <c r="D31" s="6" t="s">
        <v>158</v>
      </c>
      <c r="E31" s="6" t="s">
        <v>166</v>
      </c>
      <c r="F31" s="6" t="s">
        <v>167</v>
      </c>
      <c r="G31" s="6" t="s">
        <v>168</v>
      </c>
      <c r="H31" s="6" t="s">
        <v>169</v>
      </c>
      <c r="I31" s="6" t="s">
        <v>168</v>
      </c>
      <c r="J31" s="6" t="s">
        <v>169</v>
      </c>
      <c r="K31" s="6"/>
      <c r="L31" s="6" t="str">
        <f aca="false">IF(I31="N/A",G31,I31)</f>
        <v>Not Run</v>
      </c>
    </row>
    <row r="32" customFormat="false" ht="23.85" hidden="false" customHeight="false" outlineLevel="0" collapsed="false">
      <c r="A32" s="6" t="s">
        <v>170</v>
      </c>
      <c r="B32" s="6" t="s">
        <v>164</v>
      </c>
      <c r="C32" s="6" t="s">
        <v>171</v>
      </c>
      <c r="D32" s="6" t="s">
        <v>84</v>
      </c>
      <c r="E32" s="6" t="s">
        <v>172</v>
      </c>
      <c r="F32" s="6" t="s">
        <v>173</v>
      </c>
      <c r="G32" s="6" t="s">
        <v>168</v>
      </c>
      <c r="H32" s="6" t="s">
        <v>169</v>
      </c>
      <c r="I32" s="6" t="s">
        <v>168</v>
      </c>
      <c r="J32" s="6" t="s">
        <v>169</v>
      </c>
      <c r="K32" s="6"/>
      <c r="L32" s="6" t="str">
        <f aca="false">IF(I32="N/A",G32,I32)</f>
        <v>Not Run</v>
      </c>
    </row>
    <row r="33" customFormat="false" ht="15" hidden="false" customHeight="false" outlineLevel="0" collapsed="false">
      <c r="A33" s="6" t="s">
        <v>174</v>
      </c>
      <c r="B33" s="6" t="s">
        <v>164</v>
      </c>
      <c r="C33" s="6" t="s">
        <v>175</v>
      </c>
      <c r="D33" s="6" t="s">
        <v>144</v>
      </c>
      <c r="E33" s="6" t="s">
        <v>176</v>
      </c>
      <c r="F33" s="6" t="s">
        <v>177</v>
      </c>
      <c r="G33" s="6" t="s">
        <v>168</v>
      </c>
      <c r="H33" s="6" t="s">
        <v>169</v>
      </c>
      <c r="I33" s="6" t="s">
        <v>168</v>
      </c>
      <c r="J33" s="6" t="s">
        <v>169</v>
      </c>
      <c r="K33" s="6"/>
      <c r="L33" s="6" t="str">
        <f aca="false">IF(I33="N/A",G33,I33)</f>
        <v>Not Run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5" min="3" style="0" width="10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46"/>
    <col collapsed="false" customWidth="true" hidden="false" outlineLevel="0" max="9" min="9" style="0" width="4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2" t="s">
        <v>178</v>
      </c>
    </row>
    <row r="3" customFormat="false" ht="23.85" hidden="false" customHeight="false" outlineLevel="0" collapsed="false">
      <c r="A3" s="5" t="s">
        <v>16</v>
      </c>
      <c r="B3" s="5" t="s">
        <v>18</v>
      </c>
      <c r="C3" s="5" t="s">
        <v>179</v>
      </c>
      <c r="D3" s="5" t="s">
        <v>180</v>
      </c>
      <c r="E3" s="5" t="s">
        <v>181</v>
      </c>
      <c r="F3" s="5" t="s">
        <v>182</v>
      </c>
      <c r="G3" s="5" t="s">
        <v>183</v>
      </c>
      <c r="H3" s="5" t="s">
        <v>184</v>
      </c>
      <c r="I3" s="5" t="s">
        <v>185</v>
      </c>
      <c r="J3" s="5" t="s">
        <v>186</v>
      </c>
      <c r="K3" s="5" t="s">
        <v>187</v>
      </c>
      <c r="L3" s="5" t="s">
        <v>188</v>
      </c>
    </row>
    <row r="4" customFormat="false" ht="23.85" hidden="false" customHeight="false" outlineLevel="0" collapsed="false">
      <c r="A4" s="6" t="s">
        <v>37</v>
      </c>
      <c r="B4" s="6" t="s">
        <v>189</v>
      </c>
      <c r="C4" s="6" t="s">
        <v>190</v>
      </c>
      <c r="D4" s="6" t="s">
        <v>191</v>
      </c>
      <c r="E4" s="6" t="s">
        <v>28</v>
      </c>
      <c r="F4" s="7" t="n">
        <v>400</v>
      </c>
      <c r="G4" s="8" t="n">
        <v>103846573.27</v>
      </c>
      <c r="H4" s="6" t="s">
        <v>192</v>
      </c>
      <c r="I4" s="6" t="s">
        <v>193</v>
      </c>
      <c r="J4" s="6" t="s">
        <v>194</v>
      </c>
      <c r="K4" s="6" t="s">
        <v>195</v>
      </c>
      <c r="L4" s="6" t="s">
        <v>196</v>
      </c>
    </row>
    <row r="5" customFormat="false" ht="23.85" hidden="false" customHeight="false" outlineLevel="0" collapsed="false">
      <c r="A5" s="6" t="s">
        <v>43</v>
      </c>
      <c r="B5" s="6" t="s">
        <v>197</v>
      </c>
      <c r="C5" s="6" t="s">
        <v>198</v>
      </c>
      <c r="D5" s="6" t="s">
        <v>199</v>
      </c>
      <c r="E5" s="6" t="s">
        <v>38</v>
      </c>
      <c r="F5" s="7" t="n">
        <v>200</v>
      </c>
      <c r="G5" s="8" t="n">
        <v>46804254.68</v>
      </c>
      <c r="H5" s="6" t="s">
        <v>200</v>
      </c>
      <c r="I5" s="6" t="s">
        <v>201</v>
      </c>
      <c r="J5" s="6" t="s">
        <v>194</v>
      </c>
      <c r="K5" s="6" t="s">
        <v>195</v>
      </c>
      <c r="L5" s="6" t="s">
        <v>196</v>
      </c>
    </row>
    <row r="6" customFormat="false" ht="23.85" hidden="false" customHeight="false" outlineLevel="0" collapsed="false">
      <c r="A6" s="6" t="s">
        <v>49</v>
      </c>
      <c r="B6" s="6" t="s">
        <v>202</v>
      </c>
      <c r="C6" s="6" t="s">
        <v>198</v>
      </c>
      <c r="D6" s="6" t="s">
        <v>203</v>
      </c>
      <c r="E6" s="6" t="s">
        <v>44</v>
      </c>
      <c r="F6" s="7" t="n">
        <v>300</v>
      </c>
      <c r="G6" s="8" t="n">
        <v>52590152.38</v>
      </c>
      <c r="H6" s="6" t="s">
        <v>204</v>
      </c>
      <c r="I6" s="6" t="s">
        <v>205</v>
      </c>
      <c r="J6" s="6" t="s">
        <v>194</v>
      </c>
      <c r="K6" s="6" t="s">
        <v>195</v>
      </c>
      <c r="L6" s="6" t="s">
        <v>196</v>
      </c>
    </row>
    <row r="7" customFormat="false" ht="23.85" hidden="false" customHeight="false" outlineLevel="0" collapsed="false">
      <c r="A7" s="6" t="s">
        <v>55</v>
      </c>
      <c r="B7" s="6" t="s">
        <v>206</v>
      </c>
      <c r="C7" s="6" t="s">
        <v>198</v>
      </c>
      <c r="D7" s="6" t="s">
        <v>207</v>
      </c>
      <c r="E7" s="6" t="s">
        <v>50</v>
      </c>
      <c r="F7" s="7" t="n">
        <v>800</v>
      </c>
      <c r="G7" s="8" t="n">
        <v>144571998</v>
      </c>
      <c r="H7" s="6" t="s">
        <v>208</v>
      </c>
      <c r="I7" s="6" t="s">
        <v>209</v>
      </c>
      <c r="J7" s="6" t="s">
        <v>194</v>
      </c>
      <c r="K7" s="6" t="s">
        <v>195</v>
      </c>
      <c r="L7" s="6" t="s">
        <v>196</v>
      </c>
    </row>
    <row r="8" customFormat="false" ht="23.85" hidden="false" customHeight="false" outlineLevel="0" collapsed="false">
      <c r="A8" s="6" t="s">
        <v>61</v>
      </c>
      <c r="B8" s="6" t="s">
        <v>210</v>
      </c>
      <c r="C8" s="6" t="s">
        <v>211</v>
      </c>
      <c r="D8" s="6" t="s">
        <v>212</v>
      </c>
      <c r="E8" s="6" t="s">
        <v>56</v>
      </c>
      <c r="F8" s="7" t="n">
        <v>500</v>
      </c>
      <c r="G8" s="8" t="n">
        <v>79638298.68</v>
      </c>
      <c r="H8" s="6" t="s">
        <v>213</v>
      </c>
      <c r="I8" s="6" t="s">
        <v>214</v>
      </c>
      <c r="J8" s="6" t="s">
        <v>194</v>
      </c>
      <c r="K8" s="6" t="s">
        <v>195</v>
      </c>
      <c r="L8" s="6" t="s">
        <v>196</v>
      </c>
    </row>
    <row r="9" customFormat="false" ht="23.85" hidden="false" customHeight="false" outlineLevel="0" collapsed="false">
      <c r="A9" s="6" t="s">
        <v>67</v>
      </c>
      <c r="B9" s="6" t="s">
        <v>215</v>
      </c>
      <c r="C9" s="6" t="s">
        <v>211</v>
      </c>
      <c r="D9" s="6" t="s">
        <v>216</v>
      </c>
      <c r="E9" s="6" t="s">
        <v>62</v>
      </c>
      <c r="F9" s="7" t="n">
        <v>600</v>
      </c>
      <c r="G9" s="8" t="n">
        <v>102000761.4</v>
      </c>
      <c r="H9" s="6" t="s">
        <v>217</v>
      </c>
      <c r="I9" s="6" t="s">
        <v>218</v>
      </c>
      <c r="J9" s="6" t="s">
        <v>194</v>
      </c>
      <c r="K9" s="6" t="s">
        <v>195</v>
      </c>
      <c r="L9" s="6" t="s">
        <v>196</v>
      </c>
    </row>
    <row r="10" customFormat="false" ht="23.85" hidden="false" customHeight="false" outlineLevel="0" collapsed="false">
      <c r="A10" s="6" t="s">
        <v>71</v>
      </c>
      <c r="B10" s="6" t="s">
        <v>219</v>
      </c>
      <c r="C10" s="6" t="s">
        <v>198</v>
      </c>
      <c r="D10" s="6" t="s">
        <v>220</v>
      </c>
      <c r="E10" s="6" t="s">
        <v>68</v>
      </c>
      <c r="F10" s="7" t="n">
        <v>300</v>
      </c>
      <c r="G10" s="8" t="n">
        <v>52861403.3</v>
      </c>
      <c r="H10" s="6" t="s">
        <v>221</v>
      </c>
      <c r="I10" s="6" t="s">
        <v>222</v>
      </c>
      <c r="J10" s="6" t="s">
        <v>194</v>
      </c>
      <c r="K10" s="6" t="s">
        <v>195</v>
      </c>
      <c r="L10" s="6" t="s">
        <v>196</v>
      </c>
    </row>
    <row r="11" customFormat="false" ht="23.85" hidden="false" customHeight="false" outlineLevel="0" collapsed="false">
      <c r="A11" s="6" t="s">
        <v>76</v>
      </c>
      <c r="B11" s="6" t="s">
        <v>223</v>
      </c>
      <c r="C11" s="6" t="s">
        <v>198</v>
      </c>
      <c r="D11" s="6" t="s">
        <v>224</v>
      </c>
      <c r="E11" s="6" t="s">
        <v>72</v>
      </c>
      <c r="F11" s="7" t="n">
        <v>500</v>
      </c>
      <c r="G11" s="8" t="n">
        <v>73100733.25</v>
      </c>
      <c r="H11" s="6" t="s">
        <v>225</v>
      </c>
      <c r="I11" s="6" t="s">
        <v>226</v>
      </c>
      <c r="J11" s="6" t="s">
        <v>194</v>
      </c>
      <c r="K11" s="6" t="s">
        <v>195</v>
      </c>
      <c r="L11" s="6" t="s">
        <v>196</v>
      </c>
    </row>
    <row r="12" customFormat="false" ht="23.85" hidden="false" customHeight="false" outlineLevel="0" collapsed="false">
      <c r="A12" s="6" t="s">
        <v>81</v>
      </c>
      <c r="B12" s="6" t="s">
        <v>227</v>
      </c>
      <c r="C12" s="6" t="s">
        <v>198</v>
      </c>
      <c r="D12" s="6" t="s">
        <v>228</v>
      </c>
      <c r="E12" s="6" t="s">
        <v>77</v>
      </c>
      <c r="F12" s="7" t="n">
        <v>400</v>
      </c>
      <c r="G12" s="8" t="n">
        <v>72793879.68</v>
      </c>
      <c r="H12" s="6" t="s">
        <v>229</v>
      </c>
      <c r="I12" s="6" t="s">
        <v>230</v>
      </c>
      <c r="J12" s="6" t="s">
        <v>194</v>
      </c>
      <c r="K12" s="6" t="s">
        <v>195</v>
      </c>
      <c r="L12" s="6" t="s">
        <v>196</v>
      </c>
    </row>
    <row r="13" customFormat="false" ht="23.85" hidden="false" customHeight="false" outlineLevel="0" collapsed="false">
      <c r="A13" s="6" t="s">
        <v>87</v>
      </c>
      <c r="B13" s="6" t="s">
        <v>231</v>
      </c>
      <c r="C13" s="6" t="s">
        <v>190</v>
      </c>
      <c r="D13" s="6" t="s">
        <v>232</v>
      </c>
      <c r="E13" s="6" t="s">
        <v>82</v>
      </c>
      <c r="F13" s="7" t="n">
        <v>10</v>
      </c>
      <c r="G13" s="8" t="n">
        <v>25818752.09</v>
      </c>
      <c r="H13" s="6" t="s">
        <v>233</v>
      </c>
      <c r="I13" s="6" t="s">
        <v>234</v>
      </c>
      <c r="J13" s="6" t="s">
        <v>194</v>
      </c>
      <c r="K13" s="6" t="s">
        <v>195</v>
      </c>
      <c r="L13" s="6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6"/>
    <col collapsed="false" customWidth="true" hidden="false" outlineLevel="0" max="3" min="3" style="0" width="9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2" t="s">
        <v>1</v>
      </c>
    </row>
    <row r="3" customFormat="false" ht="15" hidden="false" customHeight="false" outlineLevel="0" collapsed="false">
      <c r="A3" s="5" t="s">
        <v>19</v>
      </c>
      <c r="B3" s="5" t="s">
        <v>235</v>
      </c>
      <c r="C3" s="5" t="s">
        <v>236</v>
      </c>
      <c r="D3" s="5" t="s">
        <v>2</v>
      </c>
      <c r="E3" s="5" t="s">
        <v>237</v>
      </c>
      <c r="F3" s="5" t="s">
        <v>2</v>
      </c>
      <c r="G3" s="5" t="s">
        <v>238</v>
      </c>
      <c r="H3" s="5" t="s">
        <v>239</v>
      </c>
      <c r="I3" s="5" t="s">
        <v>187</v>
      </c>
    </row>
    <row r="4" customFormat="false" ht="15" hidden="false" customHeight="false" outlineLevel="0" collapsed="false">
      <c r="A4" s="6" t="s">
        <v>31</v>
      </c>
      <c r="B4" s="6" t="s">
        <v>240</v>
      </c>
      <c r="C4" s="6" t="s">
        <v>241</v>
      </c>
      <c r="D4" s="6" t="s">
        <v>28</v>
      </c>
      <c r="E4" s="6" t="s">
        <v>37</v>
      </c>
      <c r="F4" s="6" t="n">
        <f aca="false">COUNTIF('Test Cases'!$D$4:$D$33,A4)</f>
        <v>1</v>
      </c>
      <c r="G4" s="6" t="n">
        <f aca="false">COUNTIFS('Test Cases'!$D$4:$D$33,A4,'Test Cases'!$L$4:$L$33,"Pass")</f>
        <v>1</v>
      </c>
      <c r="H4" s="6" t="n">
        <f aca="false">COUNTIFS('Test Cases'!$D$4:$D$33,A4,'Test Cases'!$L$4:$L$33,"Fail")</f>
        <v>0</v>
      </c>
      <c r="I4" s="6" t="str">
        <f aca="false">IF(H4&gt;0,"Fail",IF(G4=F4,"Pass","Pending UAT"))</f>
        <v>Pass</v>
      </c>
    </row>
    <row r="5" customFormat="false" ht="15" hidden="false" customHeight="false" outlineLevel="0" collapsed="false">
      <c r="A5" s="6" t="s">
        <v>46</v>
      </c>
      <c r="B5" s="6" t="s">
        <v>242</v>
      </c>
      <c r="C5" s="6" t="s">
        <v>241</v>
      </c>
      <c r="D5" s="6" t="s">
        <v>44</v>
      </c>
      <c r="E5" s="6" t="s">
        <v>49</v>
      </c>
      <c r="F5" s="6" t="n">
        <f aca="false">COUNTIF('Test Cases'!$D$4:$D$33,A5)</f>
        <v>1</v>
      </c>
      <c r="G5" s="6" t="n">
        <f aca="false">COUNTIFS('Test Cases'!$D$4:$D$33,A5,'Test Cases'!$L$4:$L$33,"Pass")</f>
        <v>1</v>
      </c>
      <c r="H5" s="6" t="n">
        <f aca="false">COUNTIFS('Test Cases'!$D$4:$D$33,A5,'Test Cases'!$L$4:$L$33,"Fail")</f>
        <v>0</v>
      </c>
      <c r="I5" s="6" t="str">
        <f aca="false">IF(H5&gt;0,"Fail",IF(G5=F5,"Pass","Pending UAT"))</f>
        <v>Pass</v>
      </c>
    </row>
    <row r="6" customFormat="false" ht="15" hidden="false" customHeight="false" outlineLevel="0" collapsed="false">
      <c r="A6" s="6" t="s">
        <v>40</v>
      </c>
      <c r="B6" s="6" t="s">
        <v>243</v>
      </c>
      <c r="C6" s="6" t="s">
        <v>241</v>
      </c>
      <c r="D6" s="6" t="s">
        <v>38</v>
      </c>
      <c r="E6" s="6" t="s">
        <v>43</v>
      </c>
      <c r="F6" s="6" t="n">
        <f aca="false">COUNTIF('Test Cases'!$D$4:$D$33,A6)</f>
        <v>1</v>
      </c>
      <c r="G6" s="6" t="n">
        <f aca="false">COUNTIFS('Test Cases'!$D$4:$D$33,A6,'Test Cases'!$L$4:$L$33,"Pass")</f>
        <v>1</v>
      </c>
      <c r="H6" s="6" t="n">
        <f aca="false">COUNTIFS('Test Cases'!$D$4:$D$33,A6,'Test Cases'!$L$4:$L$33,"Fail")</f>
        <v>0</v>
      </c>
      <c r="I6" s="6" t="str">
        <f aca="false">IF(H6&gt;0,"Fail",IF(G6=F6,"Pass","Pending UAT"))</f>
        <v>Pass</v>
      </c>
    </row>
    <row r="7" customFormat="false" ht="15" hidden="false" customHeight="false" outlineLevel="0" collapsed="false">
      <c r="A7" s="6" t="s">
        <v>52</v>
      </c>
      <c r="B7" s="6" t="s">
        <v>244</v>
      </c>
      <c r="C7" s="6" t="s">
        <v>241</v>
      </c>
      <c r="D7" s="6" t="s">
        <v>50</v>
      </c>
      <c r="E7" s="6" t="s">
        <v>55</v>
      </c>
      <c r="F7" s="6" t="n">
        <f aca="false">COUNTIF('Test Cases'!$D$4:$D$33,A7)</f>
        <v>1</v>
      </c>
      <c r="G7" s="6" t="n">
        <f aca="false">COUNTIFS('Test Cases'!$D$4:$D$33,A7,'Test Cases'!$L$4:$L$33,"Pass")</f>
        <v>1</v>
      </c>
      <c r="H7" s="6" t="n">
        <f aca="false">COUNTIFS('Test Cases'!$D$4:$D$33,A7,'Test Cases'!$L$4:$L$33,"Fail")</f>
        <v>0</v>
      </c>
      <c r="I7" s="6" t="str">
        <f aca="false">IF(H7&gt;0,"Fail",IF(G7=F7,"Pass","Pending UAT"))</f>
        <v>Pass</v>
      </c>
    </row>
    <row r="8" customFormat="false" ht="15" hidden="false" customHeight="false" outlineLevel="0" collapsed="false">
      <c r="A8" s="6" t="s">
        <v>58</v>
      </c>
      <c r="B8" s="6" t="s">
        <v>245</v>
      </c>
      <c r="C8" s="6" t="s">
        <v>241</v>
      </c>
      <c r="D8" s="6" t="s">
        <v>246</v>
      </c>
      <c r="E8" s="6" t="s">
        <v>61</v>
      </c>
      <c r="F8" s="6" t="n">
        <f aca="false">COUNTIF('Test Cases'!$D$4:$D$33,A8)</f>
        <v>2</v>
      </c>
      <c r="G8" s="6" t="n">
        <f aca="false">COUNTIFS('Test Cases'!$D$4:$D$33,A8,'Test Cases'!$L$4:$L$33,"Pass")</f>
        <v>2</v>
      </c>
      <c r="H8" s="6" t="n">
        <f aca="false">COUNTIFS('Test Cases'!$D$4:$D$33,A8,'Test Cases'!$L$4:$L$33,"Fail")</f>
        <v>0</v>
      </c>
      <c r="I8" s="6" t="str">
        <f aca="false">IF(H8&gt;0,"Fail",IF(G8=F8,"Pass","Pending UAT"))</f>
        <v>Pass</v>
      </c>
    </row>
    <row r="9" customFormat="false" ht="15" hidden="false" customHeight="false" outlineLevel="0" collapsed="false">
      <c r="A9" s="6" t="s">
        <v>64</v>
      </c>
      <c r="B9" s="6" t="s">
        <v>247</v>
      </c>
      <c r="C9" s="6" t="s">
        <v>241</v>
      </c>
      <c r="D9" s="6" t="s">
        <v>248</v>
      </c>
      <c r="E9" s="6" t="s">
        <v>249</v>
      </c>
      <c r="F9" s="6" t="n">
        <f aca="false">COUNTIF('Test Cases'!$D$4:$D$33,A9)</f>
        <v>2</v>
      </c>
      <c r="G9" s="6" t="n">
        <f aca="false">COUNTIFS('Test Cases'!$D$4:$D$33,A9,'Test Cases'!$L$4:$L$33,"Pass")</f>
        <v>2</v>
      </c>
      <c r="H9" s="6" t="n">
        <f aca="false">COUNTIFS('Test Cases'!$D$4:$D$33,A9,'Test Cases'!$L$4:$L$33,"Fail")</f>
        <v>0</v>
      </c>
      <c r="I9" s="6" t="str">
        <f aca="false">IF(H9&gt;0,"Fail",IF(G9=F9,"Pass","Pending UAT"))</f>
        <v>Pass</v>
      </c>
    </row>
    <row r="10" customFormat="false" ht="15" hidden="false" customHeight="false" outlineLevel="0" collapsed="false">
      <c r="A10" s="6" t="s">
        <v>74</v>
      </c>
      <c r="B10" s="6" t="s">
        <v>250</v>
      </c>
      <c r="C10" s="6" t="s">
        <v>241</v>
      </c>
      <c r="D10" s="6" t="s">
        <v>251</v>
      </c>
      <c r="E10" s="6" t="s">
        <v>76</v>
      </c>
      <c r="F10" s="6" t="n">
        <f aca="false">COUNTIF('Test Cases'!$D$4:$D$33,A10)</f>
        <v>4</v>
      </c>
      <c r="G10" s="6" t="n">
        <f aca="false">COUNTIFS('Test Cases'!$D$4:$D$33,A10,'Test Cases'!$L$4:$L$33,"Pass")</f>
        <v>4</v>
      </c>
      <c r="H10" s="6" t="n">
        <f aca="false">COUNTIFS('Test Cases'!$D$4:$D$33,A10,'Test Cases'!$L$4:$L$33,"Fail")</f>
        <v>0</v>
      </c>
      <c r="I10" s="6" t="str">
        <f aca="false">IF(H10&gt;0,"Fail",IF(G10=F10,"Pass","Pending UAT"))</f>
        <v>Pass</v>
      </c>
    </row>
    <row r="11" customFormat="false" ht="15" hidden="false" customHeight="false" outlineLevel="0" collapsed="false">
      <c r="A11" s="6" t="s">
        <v>79</v>
      </c>
      <c r="B11" s="6" t="s">
        <v>252</v>
      </c>
      <c r="C11" s="6" t="s">
        <v>241</v>
      </c>
      <c r="D11" s="6" t="s">
        <v>77</v>
      </c>
      <c r="E11" s="6" t="s">
        <v>81</v>
      </c>
      <c r="F11" s="6" t="n">
        <f aca="false">COUNTIF('Test Cases'!$D$4:$D$33,A11)</f>
        <v>1</v>
      </c>
      <c r="G11" s="6" t="n">
        <f aca="false">COUNTIFS('Test Cases'!$D$4:$D$33,A11,'Test Cases'!$L$4:$L$33,"Pass")</f>
        <v>1</v>
      </c>
      <c r="H11" s="6" t="n">
        <f aca="false">COUNTIFS('Test Cases'!$D$4:$D$33,A11,'Test Cases'!$L$4:$L$33,"Fail")</f>
        <v>0</v>
      </c>
      <c r="I11" s="6" t="str">
        <f aca="false">IF(H11&gt;0,"Fail",IF(G11=F11,"Pass","Pending UAT"))</f>
        <v>Pass</v>
      </c>
    </row>
    <row r="12" customFormat="false" ht="15" hidden="false" customHeight="false" outlineLevel="0" collapsed="false">
      <c r="A12" s="6" t="s">
        <v>84</v>
      </c>
      <c r="B12" s="6" t="s">
        <v>253</v>
      </c>
      <c r="C12" s="6" t="s">
        <v>241</v>
      </c>
      <c r="D12" s="6" t="s">
        <v>254</v>
      </c>
      <c r="E12" s="6" t="s">
        <v>87</v>
      </c>
      <c r="F12" s="6" t="n">
        <f aca="false">COUNTIF('Test Cases'!$D$4:$D$33,A12)</f>
        <v>2</v>
      </c>
      <c r="G12" s="6" t="n">
        <f aca="false">COUNTIFS('Test Cases'!$D$4:$D$33,A12,'Test Cases'!$L$4:$L$33,"Pass")</f>
        <v>1</v>
      </c>
      <c r="H12" s="6" t="n">
        <f aca="false">COUNTIFS('Test Cases'!$D$4:$D$33,A12,'Test Cases'!$L$4:$L$33,"Fail")</f>
        <v>0</v>
      </c>
      <c r="I12" s="6" t="str">
        <f aca="false">IF(H12&gt;0,"Fail",IF(G12=F12,"Pass","Pending UAT"))</f>
        <v>Pending UAT</v>
      </c>
    </row>
    <row r="13" customFormat="false" ht="15" hidden="false" customHeight="false" outlineLevel="0" collapsed="false">
      <c r="A13" s="6" t="s">
        <v>90</v>
      </c>
      <c r="B13" s="6" t="s">
        <v>255</v>
      </c>
      <c r="C13" s="6" t="s">
        <v>241</v>
      </c>
      <c r="D13" s="6" t="s">
        <v>256</v>
      </c>
      <c r="E13" s="6"/>
      <c r="F13" s="6" t="n">
        <f aca="false">COUNTIF('Test Cases'!$D$4:$D$33,A13)</f>
        <v>2</v>
      </c>
      <c r="G13" s="6" t="n">
        <f aca="false">COUNTIFS('Test Cases'!$D$4:$D$33,A13,'Test Cases'!$L$4:$L$33,"Pass")</f>
        <v>2</v>
      </c>
      <c r="H13" s="6" t="n">
        <f aca="false">COUNTIFS('Test Cases'!$D$4:$D$33,A13,'Test Cases'!$L$4:$L$33,"Fail")</f>
        <v>0</v>
      </c>
      <c r="I13" s="6" t="str">
        <f aca="false">IF(H13&gt;0,"Fail",IF(G13=F13,"Pass","Pending UAT"))</f>
        <v>Pass</v>
      </c>
    </row>
    <row r="14" customFormat="false" ht="15" hidden="false" customHeight="false" outlineLevel="0" collapsed="false">
      <c r="A14" s="6" t="s">
        <v>106</v>
      </c>
      <c r="B14" s="6" t="s">
        <v>257</v>
      </c>
      <c r="C14" s="6" t="s">
        <v>241</v>
      </c>
      <c r="D14" s="6" t="s">
        <v>104</v>
      </c>
      <c r="E14" s="6"/>
      <c r="F14" s="6" t="n">
        <f aca="false">COUNTIF('Test Cases'!$D$4:$D$33,A14)</f>
        <v>1</v>
      </c>
      <c r="G14" s="6" t="n">
        <f aca="false">COUNTIFS('Test Cases'!$D$4:$D$33,A14,'Test Cases'!$L$4:$L$33,"Pass")</f>
        <v>1</v>
      </c>
      <c r="H14" s="6" t="n">
        <f aca="false">COUNTIFS('Test Cases'!$D$4:$D$33,A14,'Test Cases'!$L$4:$L$33,"Fail")</f>
        <v>0</v>
      </c>
      <c r="I14" s="6" t="str">
        <f aca="false">IF(H14&gt;0,"Fail",IF(G14=F14,"Pass","Pending UAT"))</f>
        <v>Pass</v>
      </c>
    </row>
    <row r="15" customFormat="false" ht="15" hidden="false" customHeight="false" outlineLevel="0" collapsed="false">
      <c r="A15" s="6" t="s">
        <v>158</v>
      </c>
      <c r="B15" s="6" t="s">
        <v>258</v>
      </c>
      <c r="C15" s="6" t="s">
        <v>241</v>
      </c>
      <c r="D15" s="6" t="s">
        <v>259</v>
      </c>
      <c r="E15" s="6"/>
      <c r="F15" s="6" t="n">
        <f aca="false">COUNTIF('Test Cases'!$D$4:$D$33,A15)</f>
        <v>2</v>
      </c>
      <c r="G15" s="6" t="n">
        <f aca="false">COUNTIFS('Test Cases'!$D$4:$D$33,A15,'Test Cases'!$L$4:$L$33,"Pass")</f>
        <v>1</v>
      </c>
      <c r="H15" s="6" t="n">
        <f aca="false">COUNTIFS('Test Cases'!$D$4:$D$33,A15,'Test Cases'!$L$4:$L$33,"Fail")</f>
        <v>0</v>
      </c>
      <c r="I15" s="6" t="str">
        <f aca="false">IF(H15&gt;0,"Fail",IF(G15=F15,"Pass","Pending UAT"))</f>
        <v>Pending UAT</v>
      </c>
    </row>
    <row r="16" customFormat="false" ht="15" hidden="false" customHeight="false" outlineLevel="0" collapsed="false">
      <c r="A16" s="6" t="s">
        <v>113</v>
      </c>
      <c r="B16" s="6" t="s">
        <v>260</v>
      </c>
      <c r="C16" s="6" t="s">
        <v>261</v>
      </c>
      <c r="D16" s="6" t="s">
        <v>262</v>
      </c>
      <c r="E16" s="6"/>
      <c r="F16" s="6" t="n">
        <f aca="false">COUNTIF('Test Cases'!$D$4:$D$33,A16)</f>
        <v>7</v>
      </c>
      <c r="G16" s="6" t="n">
        <f aca="false">COUNTIFS('Test Cases'!$D$4:$D$33,A16,'Test Cases'!$L$4:$L$33,"Pass")</f>
        <v>7</v>
      </c>
      <c r="H16" s="6" t="n">
        <f aca="false">COUNTIFS('Test Cases'!$D$4:$D$33,A16,'Test Cases'!$L$4:$L$33,"Fail")</f>
        <v>0</v>
      </c>
      <c r="I16" s="6" t="str">
        <f aca="false">IF(H16&gt;0,"Fail",IF(G16=F16,"Pass","Pending UAT"))</f>
        <v>Pass</v>
      </c>
    </row>
    <row r="17" customFormat="false" ht="23.85" hidden="false" customHeight="false" outlineLevel="0" collapsed="false">
      <c r="A17" s="6" t="s">
        <v>144</v>
      </c>
      <c r="B17" s="6" t="s">
        <v>263</v>
      </c>
      <c r="C17" s="6" t="s">
        <v>241</v>
      </c>
      <c r="D17" s="6" t="s">
        <v>264</v>
      </c>
      <c r="E17" s="6"/>
      <c r="F17" s="6" t="n">
        <f aca="false">COUNTIF('Test Cases'!$D$4:$D$33,A17)</f>
        <v>3</v>
      </c>
      <c r="G17" s="6" t="n">
        <f aca="false">COUNTIFS('Test Cases'!$D$4:$D$33,A17,'Test Cases'!$L$4:$L$33,"Pass")</f>
        <v>2</v>
      </c>
      <c r="H17" s="6" t="n">
        <f aca="false">COUNTIFS('Test Cases'!$D$4:$D$33,A17,'Test Cases'!$L$4:$L$33,"Fail")</f>
        <v>0</v>
      </c>
      <c r="I17" s="6" t="str">
        <f aca="false">IF(H17&gt;0,"Fail",IF(G17=F17,"Pass","Pending UAT"))</f>
        <v>Pending UAT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4" min="4" style="0" width="52"/>
    <col collapsed="false" customWidth="true" hidden="false" outlineLevel="0" max="5" min="5" style="0" width="36"/>
    <col collapsed="false" customWidth="true" hidden="false" outlineLevel="0" max="6" min="6" style="0" width="20"/>
    <col collapsed="false" customWidth="true" hidden="false" outlineLevel="0" max="7" min="7" style="0" width="28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2" t="s">
        <v>1</v>
      </c>
    </row>
    <row r="3" customFormat="false" ht="15" hidden="false" customHeight="false" outlineLevel="0" collapsed="false">
      <c r="A3" s="5" t="s">
        <v>16</v>
      </c>
      <c r="B3" s="5" t="s">
        <v>265</v>
      </c>
      <c r="C3" s="5" t="s">
        <v>266</v>
      </c>
      <c r="D3" s="5" t="s">
        <v>267</v>
      </c>
      <c r="E3" s="5" t="s">
        <v>268</v>
      </c>
      <c r="F3" s="5" t="s">
        <v>269</v>
      </c>
      <c r="G3" s="5" t="s">
        <v>270</v>
      </c>
      <c r="H3" s="5" t="s">
        <v>187</v>
      </c>
    </row>
    <row r="4" customFormat="false" ht="23.85" hidden="false" customHeight="false" outlineLevel="0" collapsed="false">
      <c r="A4" s="6" t="s">
        <v>271</v>
      </c>
      <c r="B4" s="6" t="s">
        <v>272</v>
      </c>
      <c r="C4" s="6" t="s">
        <v>273</v>
      </c>
      <c r="D4" s="6" t="s">
        <v>274</v>
      </c>
      <c r="E4" s="6" t="s">
        <v>275</v>
      </c>
      <c r="F4" s="6" t="s">
        <v>276</v>
      </c>
      <c r="G4" s="6" t="s">
        <v>277</v>
      </c>
      <c r="H4" s="6" t="s">
        <v>278</v>
      </c>
    </row>
    <row r="5" customFormat="false" ht="23.85" hidden="false" customHeight="false" outlineLevel="0" collapsed="false">
      <c r="A5" s="6" t="s">
        <v>279</v>
      </c>
      <c r="B5" s="6" t="s">
        <v>272</v>
      </c>
      <c r="C5" s="6" t="s">
        <v>280</v>
      </c>
      <c r="D5" s="6" t="s">
        <v>281</v>
      </c>
      <c r="E5" s="6" t="s">
        <v>282</v>
      </c>
      <c r="F5" s="6" t="s">
        <v>276</v>
      </c>
      <c r="G5" s="6" t="s">
        <v>283</v>
      </c>
      <c r="H5" s="6" t="s">
        <v>278</v>
      </c>
    </row>
    <row r="6" customFormat="false" ht="15" hidden="false" customHeight="false" outlineLevel="0" collapsed="false">
      <c r="A6" s="6" t="s">
        <v>284</v>
      </c>
      <c r="B6" s="6" t="s">
        <v>272</v>
      </c>
      <c r="C6" s="6" t="s">
        <v>285</v>
      </c>
      <c r="D6" s="6" t="s">
        <v>286</v>
      </c>
      <c r="E6" s="6" t="s">
        <v>287</v>
      </c>
      <c r="F6" s="6" t="s">
        <v>276</v>
      </c>
      <c r="G6" s="6" t="s">
        <v>288</v>
      </c>
      <c r="H6" s="6" t="s">
        <v>289</v>
      </c>
    </row>
    <row r="7" customFormat="false" ht="23.85" hidden="false" customHeight="false" outlineLevel="0" collapsed="false">
      <c r="A7" s="6" t="s">
        <v>290</v>
      </c>
      <c r="B7" s="6" t="s">
        <v>272</v>
      </c>
      <c r="C7" s="6" t="s">
        <v>291</v>
      </c>
      <c r="D7" s="6" t="s">
        <v>292</v>
      </c>
      <c r="E7" s="6" t="s">
        <v>293</v>
      </c>
      <c r="F7" s="6" t="s">
        <v>294</v>
      </c>
      <c r="G7" s="6" t="s">
        <v>277</v>
      </c>
      <c r="H7" s="6" t="s">
        <v>295</v>
      </c>
    </row>
    <row r="8" customFormat="false" ht="15" hidden="false" customHeight="false" outlineLevel="0" collapsed="false">
      <c r="A8" s="6" t="s">
        <v>296</v>
      </c>
      <c r="B8" s="6" t="s">
        <v>272</v>
      </c>
      <c r="C8" s="6" t="s">
        <v>297</v>
      </c>
      <c r="D8" s="6" t="s">
        <v>298</v>
      </c>
      <c r="E8" s="6" t="s">
        <v>299</v>
      </c>
      <c r="F8" s="6" t="s">
        <v>276</v>
      </c>
      <c r="G8" s="6" t="s">
        <v>277</v>
      </c>
      <c r="H8" s="6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58"/>
    <col collapsed="false" customWidth="true" hidden="false" outlineLevel="0" max="4" min="4" style="0" width="56"/>
    <col collapsed="false" customWidth="true" hidden="false" outlineLevel="0" max="5" min="5" style="0" width="28"/>
    <col collapsed="false" customWidth="true" hidden="false" outlineLevel="0" max="6" min="6" style="0" width="48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2" t="s">
        <v>1</v>
      </c>
    </row>
    <row r="3" customFormat="false" ht="15" hidden="false" customHeight="false" outlineLevel="0" collapsed="false">
      <c r="A3" s="5" t="s">
        <v>17</v>
      </c>
      <c r="B3" s="5" t="s">
        <v>16</v>
      </c>
      <c r="C3" s="5" t="s">
        <v>235</v>
      </c>
      <c r="D3" s="5" t="s">
        <v>301</v>
      </c>
      <c r="E3" s="5" t="s">
        <v>302</v>
      </c>
      <c r="F3" s="5" t="s">
        <v>303</v>
      </c>
      <c r="G3" s="5" t="s">
        <v>187</v>
      </c>
    </row>
    <row r="4" customFormat="false" ht="23.85" hidden="false" customHeight="false" outlineLevel="0" collapsed="false">
      <c r="A4" s="6" t="s">
        <v>304</v>
      </c>
      <c r="B4" s="6" t="s">
        <v>305</v>
      </c>
      <c r="C4" s="6" t="s">
        <v>306</v>
      </c>
      <c r="D4" s="6" t="s">
        <v>307</v>
      </c>
      <c r="E4" s="6" t="s">
        <v>308</v>
      </c>
      <c r="F4" s="6" t="s">
        <v>309</v>
      </c>
      <c r="G4" s="6" t="s">
        <v>310</v>
      </c>
    </row>
    <row r="5" customFormat="false" ht="23.85" hidden="false" customHeight="false" outlineLevel="0" collapsed="false">
      <c r="A5" s="6" t="s">
        <v>304</v>
      </c>
      <c r="B5" s="6" t="s">
        <v>311</v>
      </c>
      <c r="C5" s="6" t="s">
        <v>312</v>
      </c>
      <c r="D5" s="6" t="s">
        <v>313</v>
      </c>
      <c r="E5" s="6" t="s">
        <v>288</v>
      </c>
      <c r="F5" s="6" t="s">
        <v>314</v>
      </c>
      <c r="G5" s="6" t="s">
        <v>315</v>
      </c>
    </row>
    <row r="6" customFormat="false" ht="15" hidden="false" customHeight="false" outlineLevel="0" collapsed="false">
      <c r="A6" s="6" t="s">
        <v>304</v>
      </c>
      <c r="B6" s="6" t="s">
        <v>316</v>
      </c>
      <c r="C6" s="6" t="s">
        <v>317</v>
      </c>
      <c r="D6" s="6" t="s">
        <v>318</v>
      </c>
      <c r="E6" s="6" t="s">
        <v>319</v>
      </c>
      <c r="F6" s="6" t="s">
        <v>320</v>
      </c>
      <c r="G6" s="6" t="s">
        <v>310</v>
      </c>
    </row>
    <row r="7" customFormat="false" ht="15" hidden="false" customHeight="false" outlineLevel="0" collapsed="false">
      <c r="A7" s="6" t="s">
        <v>304</v>
      </c>
      <c r="B7" s="6" t="s">
        <v>321</v>
      </c>
      <c r="C7" s="6" t="s">
        <v>322</v>
      </c>
      <c r="D7" s="6" t="s">
        <v>323</v>
      </c>
      <c r="E7" s="6" t="s">
        <v>324</v>
      </c>
      <c r="F7" s="6" t="s">
        <v>325</v>
      </c>
      <c r="G7" s="6" t="s">
        <v>326</v>
      </c>
    </row>
    <row r="8" customFormat="false" ht="15" hidden="false" customHeight="false" outlineLevel="0" collapsed="false">
      <c r="A8" s="6" t="s">
        <v>304</v>
      </c>
      <c r="B8" s="6" t="s">
        <v>327</v>
      </c>
      <c r="C8" s="6" t="s">
        <v>328</v>
      </c>
      <c r="D8" s="6" t="s">
        <v>329</v>
      </c>
      <c r="E8" s="6" t="s">
        <v>276</v>
      </c>
      <c r="F8" s="6" t="s">
        <v>330</v>
      </c>
      <c r="G8" s="6" t="s">
        <v>331</v>
      </c>
    </row>
    <row r="9" customFormat="false" ht="15" hidden="false" customHeight="false" outlineLevel="0" collapsed="false">
      <c r="A9" s="6" t="s">
        <v>332</v>
      </c>
      <c r="B9" s="6" t="s">
        <v>333</v>
      </c>
      <c r="C9" s="6" t="s">
        <v>334</v>
      </c>
      <c r="D9" s="6"/>
      <c r="E9" s="6" t="s">
        <v>294</v>
      </c>
      <c r="F9" s="6" t="s">
        <v>335</v>
      </c>
      <c r="G9" s="6" t="s">
        <v>326</v>
      </c>
    </row>
    <row r="10" customFormat="false" ht="23.85" hidden="false" customHeight="false" outlineLevel="0" collapsed="false">
      <c r="A10" s="6" t="s">
        <v>332</v>
      </c>
      <c r="B10" s="6" t="s">
        <v>336</v>
      </c>
      <c r="C10" s="6" t="s">
        <v>337</v>
      </c>
      <c r="D10" s="6"/>
      <c r="E10" s="6" t="s">
        <v>276</v>
      </c>
      <c r="F10" s="6" t="s">
        <v>338</v>
      </c>
      <c r="G10" s="6" t="s">
        <v>195</v>
      </c>
    </row>
    <row r="11" customFormat="false" ht="23.85" hidden="false" customHeight="false" outlineLevel="0" collapsed="false">
      <c r="A11" s="6" t="s">
        <v>332</v>
      </c>
      <c r="B11" s="6" t="s">
        <v>339</v>
      </c>
      <c r="C11" s="6" t="s">
        <v>340</v>
      </c>
      <c r="D11" s="6"/>
      <c r="E11" s="6" t="s">
        <v>341</v>
      </c>
      <c r="F11" s="6" t="s">
        <v>342</v>
      </c>
      <c r="G11" s="6" t="s">
        <v>326</v>
      </c>
    </row>
    <row r="12" customFormat="false" ht="23.85" hidden="false" customHeight="false" outlineLevel="0" collapsed="false">
      <c r="A12" s="6" t="s">
        <v>343</v>
      </c>
      <c r="B12" s="6" t="s">
        <v>344</v>
      </c>
      <c r="C12" s="6" t="s">
        <v>345</v>
      </c>
      <c r="D12" s="6" t="s">
        <v>346</v>
      </c>
      <c r="E12" s="6" t="s">
        <v>294</v>
      </c>
      <c r="F12" s="6" t="s">
        <v>347</v>
      </c>
      <c r="G12" s="6" t="s">
        <v>348</v>
      </c>
    </row>
    <row r="13" customFormat="false" ht="15" hidden="false" customHeight="false" outlineLevel="0" collapsed="false">
      <c r="A13" s="6" t="s">
        <v>343</v>
      </c>
      <c r="B13" s="6" t="s">
        <v>349</v>
      </c>
      <c r="C13" s="6" t="s">
        <v>350</v>
      </c>
      <c r="D13" s="6" t="s">
        <v>351</v>
      </c>
      <c r="E13" s="6" t="s">
        <v>308</v>
      </c>
      <c r="F13" s="6" t="s">
        <v>352</v>
      </c>
      <c r="G13" s="6" t="s">
        <v>195</v>
      </c>
    </row>
    <row r="14" customFormat="false" ht="15" hidden="false" customHeight="false" outlineLevel="0" collapsed="false">
      <c r="A14" s="6" t="s">
        <v>353</v>
      </c>
      <c r="B14" s="6" t="s">
        <v>354</v>
      </c>
      <c r="C14" s="6" t="s">
        <v>355</v>
      </c>
      <c r="D14" s="6"/>
      <c r="E14" s="6" t="s">
        <v>341</v>
      </c>
      <c r="F14" s="6" t="s">
        <v>356</v>
      </c>
      <c r="G14" s="6" t="s">
        <v>289</v>
      </c>
    </row>
    <row r="15" customFormat="false" ht="23.85" hidden="false" customHeight="false" outlineLevel="0" collapsed="false">
      <c r="A15" s="6" t="s">
        <v>353</v>
      </c>
      <c r="B15" s="6" t="s">
        <v>357</v>
      </c>
      <c r="C15" s="6" t="s">
        <v>358</v>
      </c>
      <c r="D15" s="6" t="s">
        <v>359</v>
      </c>
      <c r="E15" s="6" t="s">
        <v>341</v>
      </c>
      <c r="F15" s="6" t="s">
        <v>360</v>
      </c>
      <c r="G15" s="6" t="s">
        <v>326</v>
      </c>
    </row>
    <row r="16" customFormat="false" ht="15" hidden="false" customHeight="false" outlineLevel="0" collapsed="false">
      <c r="A16" s="6" t="s">
        <v>353</v>
      </c>
      <c r="B16" s="6" t="s">
        <v>361</v>
      </c>
      <c r="C16" s="6" t="s">
        <v>362</v>
      </c>
      <c r="D16" s="6"/>
      <c r="E16" s="6" t="s">
        <v>283</v>
      </c>
      <c r="F16" s="6" t="s">
        <v>363</v>
      </c>
      <c r="G16" s="6" t="s">
        <v>289</v>
      </c>
    </row>
    <row r="17" customFormat="false" ht="15" hidden="false" customHeight="false" outlineLevel="0" collapsed="false">
      <c r="A17" s="6" t="s">
        <v>364</v>
      </c>
      <c r="B17" s="6" t="s">
        <v>365</v>
      </c>
      <c r="C17" s="6" t="s">
        <v>366</v>
      </c>
      <c r="D17" s="6" t="s">
        <v>367</v>
      </c>
      <c r="E17" s="6" t="s">
        <v>277</v>
      </c>
      <c r="F17" s="6" t="s">
        <v>368</v>
      </c>
      <c r="G17" s="6" t="s">
        <v>369</v>
      </c>
    </row>
    <row r="18" customFormat="false" ht="15" hidden="false" customHeight="false" outlineLevel="0" collapsed="false">
      <c r="A18" s="6" t="s">
        <v>364</v>
      </c>
      <c r="B18" s="6" t="s">
        <v>370</v>
      </c>
      <c r="C18" s="6" t="s">
        <v>371</v>
      </c>
      <c r="D18" s="6" t="s">
        <v>372</v>
      </c>
      <c r="E18" s="6" t="s">
        <v>288</v>
      </c>
      <c r="F18" s="6" t="s">
        <v>373</v>
      </c>
      <c r="G18" s="6" t="s">
        <v>326</v>
      </c>
    </row>
    <row r="19" customFormat="false" ht="15" hidden="false" customHeight="false" outlineLevel="0" collapsed="false">
      <c r="A19" s="6" t="s">
        <v>364</v>
      </c>
      <c r="B19" s="6" t="s">
        <v>374</v>
      </c>
      <c r="C19" s="6" t="s">
        <v>375</v>
      </c>
      <c r="D19" s="6" t="s">
        <v>376</v>
      </c>
      <c r="E19" s="6" t="s">
        <v>341</v>
      </c>
      <c r="F19" s="6" t="s">
        <v>373</v>
      </c>
      <c r="G19" s="6" t="s">
        <v>326</v>
      </c>
    </row>
    <row r="20" customFormat="false" ht="15" hidden="false" customHeight="false" outlineLevel="0" collapsed="false">
      <c r="A20" s="6" t="s">
        <v>377</v>
      </c>
      <c r="B20" s="6" t="s">
        <v>378</v>
      </c>
      <c r="C20" s="6" t="s">
        <v>379</v>
      </c>
      <c r="D20" s="6"/>
      <c r="E20" s="6" t="s">
        <v>324</v>
      </c>
      <c r="F20" s="6" t="s">
        <v>380</v>
      </c>
      <c r="G20" s="6" t="s">
        <v>326</v>
      </c>
    </row>
    <row r="21" customFormat="false" ht="15" hidden="false" customHeight="false" outlineLevel="0" collapsed="false">
      <c r="A21" s="6" t="s">
        <v>377</v>
      </c>
      <c r="B21" s="6" t="s">
        <v>381</v>
      </c>
      <c r="C21" s="6" t="s">
        <v>382</v>
      </c>
      <c r="D21" s="6"/>
      <c r="E21" s="6" t="s">
        <v>276</v>
      </c>
      <c r="F21" s="6" t="s">
        <v>383</v>
      </c>
      <c r="G21" s="6" t="s">
        <v>326</v>
      </c>
    </row>
    <row r="22" customFormat="false" ht="15" hidden="false" customHeight="false" outlineLevel="0" collapsed="false">
      <c r="A22" s="6" t="s">
        <v>377</v>
      </c>
      <c r="B22" s="6" t="s">
        <v>384</v>
      </c>
      <c r="C22" s="6" t="s">
        <v>385</v>
      </c>
      <c r="D22" s="6"/>
      <c r="E22" s="6" t="s">
        <v>288</v>
      </c>
      <c r="F22" s="6" t="s">
        <v>373</v>
      </c>
      <c r="G22" s="6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18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2" t="s">
        <v>1</v>
      </c>
    </row>
    <row r="3" customFormat="false" ht="35.05" hidden="false" customHeight="false" outlineLevel="0" collapsed="false">
      <c r="A3" s="5" t="s">
        <v>386</v>
      </c>
      <c r="B3" s="5" t="s">
        <v>387</v>
      </c>
      <c r="C3" s="5" t="s">
        <v>179</v>
      </c>
      <c r="D3" s="5" t="s">
        <v>14</v>
      </c>
      <c r="E3" s="5" t="s">
        <v>15</v>
      </c>
      <c r="F3" s="5" t="s">
        <v>388</v>
      </c>
    </row>
    <row r="4" customFormat="false" ht="15" hidden="false" customHeight="false" outlineLevel="0" collapsed="false">
      <c r="A4" s="6" t="s">
        <v>191</v>
      </c>
      <c r="B4" s="6" t="s">
        <v>389</v>
      </c>
      <c r="C4" s="6" t="s">
        <v>190</v>
      </c>
      <c r="D4" s="7" t="n">
        <v>400</v>
      </c>
      <c r="E4" s="7" t="n">
        <v>0</v>
      </c>
      <c r="F4" s="8" t="n">
        <v>103846573.27</v>
      </c>
    </row>
    <row r="5" customFormat="false" ht="15" hidden="false" customHeight="false" outlineLevel="0" collapsed="false">
      <c r="A5" s="6" t="s">
        <v>199</v>
      </c>
      <c r="B5" s="6" t="s">
        <v>390</v>
      </c>
      <c r="C5" s="6" t="s">
        <v>198</v>
      </c>
      <c r="D5" s="7" t="n">
        <v>200</v>
      </c>
      <c r="E5" s="7" t="n">
        <v>0</v>
      </c>
      <c r="F5" s="8" t="n">
        <v>46804254.68</v>
      </c>
    </row>
    <row r="6" customFormat="false" ht="15" hidden="false" customHeight="false" outlineLevel="0" collapsed="false">
      <c r="A6" s="6" t="s">
        <v>203</v>
      </c>
      <c r="B6" s="6" t="s">
        <v>391</v>
      </c>
      <c r="C6" s="6" t="s">
        <v>198</v>
      </c>
      <c r="D6" s="7" t="n">
        <v>300</v>
      </c>
      <c r="E6" s="7" t="n">
        <v>0</v>
      </c>
      <c r="F6" s="8" t="n">
        <v>52590152.38</v>
      </c>
    </row>
    <row r="7" customFormat="false" ht="15" hidden="false" customHeight="false" outlineLevel="0" collapsed="false">
      <c r="A7" s="6" t="s">
        <v>207</v>
      </c>
      <c r="B7" s="6" t="s">
        <v>392</v>
      </c>
      <c r="C7" s="6" t="s">
        <v>198</v>
      </c>
      <c r="D7" s="7" t="n">
        <v>800</v>
      </c>
      <c r="E7" s="7" t="n">
        <v>0</v>
      </c>
      <c r="F7" s="8" t="n">
        <v>144571998</v>
      </c>
    </row>
    <row r="8" customFormat="false" ht="15" hidden="false" customHeight="false" outlineLevel="0" collapsed="false">
      <c r="A8" s="6" t="s">
        <v>212</v>
      </c>
      <c r="B8" s="6" t="s">
        <v>393</v>
      </c>
      <c r="C8" s="6" t="s">
        <v>211</v>
      </c>
      <c r="D8" s="7" t="n">
        <v>500</v>
      </c>
      <c r="E8" s="7" t="n">
        <v>0</v>
      </c>
      <c r="F8" s="8" t="n">
        <v>79638298.68</v>
      </c>
    </row>
    <row r="9" customFormat="false" ht="15" hidden="false" customHeight="false" outlineLevel="0" collapsed="false">
      <c r="A9" s="6" t="s">
        <v>216</v>
      </c>
      <c r="B9" s="6" t="s">
        <v>394</v>
      </c>
      <c r="C9" s="6" t="s">
        <v>211</v>
      </c>
      <c r="D9" s="7" t="n">
        <v>600</v>
      </c>
      <c r="E9" s="7" t="n">
        <v>0</v>
      </c>
      <c r="F9" s="8" t="n">
        <v>102000761.4</v>
      </c>
    </row>
    <row r="10" customFormat="false" ht="15" hidden="false" customHeight="false" outlineLevel="0" collapsed="false">
      <c r="A10" s="6" t="s">
        <v>220</v>
      </c>
      <c r="B10" s="6" t="s">
        <v>395</v>
      </c>
      <c r="C10" s="6" t="s">
        <v>198</v>
      </c>
      <c r="D10" s="7" t="n">
        <v>300</v>
      </c>
      <c r="E10" s="7" t="n">
        <v>0</v>
      </c>
      <c r="F10" s="8" t="n">
        <v>52861403.3</v>
      </c>
    </row>
    <row r="11" customFormat="false" ht="15" hidden="false" customHeight="false" outlineLevel="0" collapsed="false">
      <c r="A11" s="6" t="s">
        <v>224</v>
      </c>
      <c r="B11" s="6" t="s">
        <v>396</v>
      </c>
      <c r="C11" s="6" t="s">
        <v>198</v>
      </c>
      <c r="D11" s="7" t="n">
        <v>500</v>
      </c>
      <c r="E11" s="7" t="n">
        <v>0</v>
      </c>
      <c r="F11" s="8" t="n">
        <v>73100733.25</v>
      </c>
    </row>
    <row r="12" customFormat="false" ht="15" hidden="false" customHeight="false" outlineLevel="0" collapsed="false">
      <c r="A12" s="6" t="s">
        <v>228</v>
      </c>
      <c r="B12" s="6" t="s">
        <v>397</v>
      </c>
      <c r="C12" s="6" t="s">
        <v>198</v>
      </c>
      <c r="D12" s="7" t="n">
        <v>400</v>
      </c>
      <c r="E12" s="7" t="n">
        <v>0</v>
      </c>
      <c r="F12" s="8" t="n">
        <v>72793879.68</v>
      </c>
    </row>
    <row r="13" customFormat="false" ht="15" hidden="false" customHeight="false" outlineLevel="0" collapsed="false">
      <c r="A13" s="6" t="s">
        <v>232</v>
      </c>
      <c r="B13" s="6" t="s">
        <v>398</v>
      </c>
      <c r="C13" s="6" t="s">
        <v>190</v>
      </c>
      <c r="D13" s="7" t="n">
        <v>10</v>
      </c>
      <c r="E13" s="7" t="n">
        <v>0</v>
      </c>
      <c r="F13" s="8" t="n">
        <v>25818752.09</v>
      </c>
    </row>
    <row r="14" customFormat="false" ht="15" hidden="false" customHeight="false" outlineLevel="0" collapsed="false">
      <c r="A14" s="6" t="s">
        <v>399</v>
      </c>
      <c r="B14" s="6" t="s">
        <v>400</v>
      </c>
      <c r="C14" s="6" t="s">
        <v>198</v>
      </c>
      <c r="D14" s="7" t="n">
        <v>0</v>
      </c>
      <c r="E14" s="7" t="n">
        <v>0</v>
      </c>
      <c r="F14" s="8" t="n">
        <v>0</v>
      </c>
    </row>
    <row r="15" customFormat="false" ht="15" hidden="false" customHeight="false" outlineLevel="0" collapsed="false">
      <c r="A15" s="6" t="s">
        <v>401</v>
      </c>
      <c r="B15" s="6" t="s">
        <v>402</v>
      </c>
      <c r="C15" s="6" t="s">
        <v>198</v>
      </c>
      <c r="D15" s="7" t="n">
        <v>0</v>
      </c>
      <c r="E15" s="7" t="n">
        <v>0</v>
      </c>
      <c r="F15" s="8" t="n">
        <v>0</v>
      </c>
    </row>
    <row r="16" customFormat="false" ht="15" hidden="false" customHeight="false" outlineLevel="0" collapsed="false">
      <c r="A16" s="6" t="s">
        <v>403</v>
      </c>
      <c r="B16" s="6" t="s">
        <v>404</v>
      </c>
      <c r="C16" s="6" t="s">
        <v>198</v>
      </c>
      <c r="D16" s="7" t="n">
        <v>0</v>
      </c>
      <c r="E16" s="7" t="n">
        <v>0</v>
      </c>
      <c r="F16" s="8" t="n">
        <v>0</v>
      </c>
    </row>
    <row r="17" customFormat="false" ht="15" hidden="false" customHeight="false" outlineLevel="0" collapsed="false">
      <c r="A17" s="6" t="s">
        <v>405</v>
      </c>
      <c r="B17" s="6" t="s">
        <v>406</v>
      </c>
      <c r="C17" s="6" t="s">
        <v>198</v>
      </c>
      <c r="D17" s="7" t="n">
        <v>0</v>
      </c>
      <c r="E17" s="7" t="n">
        <v>0</v>
      </c>
      <c r="F17" s="8" t="n">
        <v>0</v>
      </c>
    </row>
    <row r="18" customFormat="false" ht="15" hidden="false" customHeight="false" outlineLevel="0" collapsed="false">
      <c r="A18" s="6" t="s">
        <v>407</v>
      </c>
      <c r="B18" s="6" t="s">
        <v>408</v>
      </c>
      <c r="C18" s="6" t="s">
        <v>211</v>
      </c>
      <c r="D18" s="7" t="n">
        <v>0</v>
      </c>
      <c r="E18" s="7" t="n">
        <v>0</v>
      </c>
      <c r="F18" s="8" t="n">
        <v>0</v>
      </c>
    </row>
    <row r="19" customFormat="false" ht="15" hidden="false" customHeight="false" outlineLevel="0" collapsed="false">
      <c r="A19" s="6" t="s">
        <v>409</v>
      </c>
      <c r="B19" s="6" t="s">
        <v>410</v>
      </c>
      <c r="C19" s="6" t="s">
        <v>198</v>
      </c>
      <c r="D19" s="7" t="n">
        <v>0</v>
      </c>
      <c r="E19" s="7" t="n">
        <v>0</v>
      </c>
      <c r="F19" s="8" t="n">
        <v>0</v>
      </c>
    </row>
    <row r="20" customFormat="false" ht="15" hidden="false" customHeight="false" outlineLevel="0" collapsed="false">
      <c r="A20" s="6" t="s">
        <v>411</v>
      </c>
      <c r="B20" s="6" t="s">
        <v>412</v>
      </c>
      <c r="C20" s="6" t="s">
        <v>198</v>
      </c>
      <c r="D20" s="7" t="n">
        <v>0</v>
      </c>
      <c r="E20" s="7" t="n">
        <v>0</v>
      </c>
      <c r="F20" s="8" t="n">
        <v>0</v>
      </c>
    </row>
    <row r="21" customFormat="false" ht="15" hidden="false" customHeight="false" outlineLevel="0" collapsed="false">
      <c r="A21" s="9" t="s">
        <v>413</v>
      </c>
      <c r="D21" s="10" t="n">
        <f aca="false">SUM(D4:D20)</f>
        <v>4010</v>
      </c>
      <c r="E21" s="10" t="n">
        <f aca="false">SUM(E4:E20)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2026-10-07T05:25:41Z</dcterms:created>
  <dc:creator>openpyxl</dc:creator>
  <dc:description/>
  <dc:language>en-US</dc:language>
  <cp:lastModifiedBy/>
  <dcterms:modified xsi:type="dcterms:W3CDTF">2026-10-07T05:25:41Z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